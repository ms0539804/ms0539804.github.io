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45" windowHeight="9840"/>
  </bookViews>
  <sheets>
    <sheet name="範例" sheetId="1" r:id="rId1"/>
    <sheet name="空白表格" sheetId="2" r:id="rId2"/>
  </sheets>
  <calcPr calcId="144525"/>
</workbook>
</file>

<file path=xl/sharedStrings.xml><?xml version="1.0" encoding="utf-8"?>
<sst xmlns="http://schemas.openxmlformats.org/spreadsheetml/2006/main" count="93" uniqueCount="28">
  <si>
    <t>帳戶劃轉</t>
  </si>
  <si>
    <t>消費記帳</t>
  </si>
  <si>
    <t>資產明細</t>
  </si>
  <si>
    <t>日期</t>
  </si>
  <si>
    <t>轉出</t>
  </si>
  <si>
    <t>轉入</t>
  </si>
  <si>
    <t>金額</t>
  </si>
  <si>
    <t>現金</t>
  </si>
  <si>
    <t>LINE</t>
  </si>
  <si>
    <t>街口</t>
  </si>
  <si>
    <t>消費帳戶</t>
  </si>
  <si>
    <t>娛樂帳戶</t>
  </si>
  <si>
    <t>備註</t>
  </si>
  <si>
    <t>資產總表</t>
  </si>
  <si>
    <t>上月資產黏貼</t>
  </si>
  <si>
    <t>薪水收入</t>
  </si>
  <si>
    <t>專案</t>
  </si>
  <si>
    <t>資產價格</t>
  </si>
  <si>
    <t>即時價格</t>
  </si>
  <si>
    <t>存款帳戶</t>
  </si>
  <si>
    <t>現金資產</t>
  </si>
  <si>
    <t>KTV250</t>
  </si>
  <si>
    <t>投資帳戶</t>
  </si>
  <si>
    <t>基金資產</t>
  </si>
  <si>
    <t>股票資產</t>
  </si>
  <si>
    <t>房地產</t>
  </si>
  <si>
    <t>總額</t>
  </si>
  <si>
    <t>工資收入</t>
  </si>
</sst>
</file>

<file path=xl/styles.xml><?xml version="1.0" encoding="utf-8"?>
<styleSheet xmlns="http://schemas.openxmlformats.org/spreadsheetml/2006/main">
  <numFmts count="5">
    <numFmt numFmtId="176" formatCode="yyyy/mm/dd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7" formatCode="_-* #,##0.00_-;\-* #,##0.00_-;_-* &quot;-&quot;??_-;_-@_-"/>
  </numFmts>
  <fonts count="30">
    <font>
      <sz val="11"/>
      <color theme="1"/>
      <name val="等线"/>
      <charset val="136"/>
      <scheme val="minor"/>
    </font>
    <font>
      <b/>
      <sz val="14"/>
      <color theme="1"/>
      <name val="微软雅黑"/>
      <charset val="134"/>
    </font>
    <font>
      <sz val="12"/>
      <color theme="0"/>
      <name val="微软雅黑"/>
      <charset val="134"/>
    </font>
    <font>
      <b/>
      <sz val="12"/>
      <color theme="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16" borderId="27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14" borderId="26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7" fillId="28" borderId="30" applyNumberFormat="0" applyAlignment="0" applyProtection="0">
      <alignment vertical="center"/>
    </xf>
    <xf numFmtId="0" fontId="24" fillId="28" borderId="27" applyNumberFormat="0" applyAlignment="0" applyProtection="0">
      <alignment vertical="center"/>
    </xf>
    <xf numFmtId="0" fontId="28" fillId="37" borderId="31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76" fontId="4" fillId="0" borderId="7" xfId="0" applyNumberFormat="1" applyFont="1" applyBorder="1">
      <alignment vertical="center"/>
    </xf>
    <xf numFmtId="0" fontId="4" fillId="5" borderId="8" xfId="0" applyFont="1" applyFill="1" applyBorder="1" applyAlignment="1">
      <alignment vertical="center"/>
    </xf>
    <xf numFmtId="177" fontId="4" fillId="0" borderId="9" xfId="8" applyFont="1" applyBorder="1">
      <alignment vertical="center"/>
    </xf>
    <xf numFmtId="176" fontId="3" fillId="2" borderId="8" xfId="0" applyNumberFormat="1" applyFont="1" applyFill="1" applyBorder="1">
      <alignment vertical="center"/>
    </xf>
    <xf numFmtId="177" fontId="4" fillId="6" borderId="8" xfId="8" applyFont="1" applyFill="1" applyBorder="1" applyAlignment="1">
      <alignment horizontal="center" vertical="center"/>
    </xf>
    <xf numFmtId="177" fontId="5" fillId="0" borderId="9" xfId="8" applyFont="1" applyBorder="1">
      <alignment vertical="center"/>
    </xf>
    <xf numFmtId="177" fontId="6" fillId="0" borderId="9" xfId="8" applyFont="1" applyBorder="1">
      <alignment vertical="center"/>
    </xf>
    <xf numFmtId="176" fontId="6" fillId="0" borderId="7" xfId="0" applyNumberFormat="1" applyFont="1" applyBorder="1">
      <alignment vertical="center"/>
    </xf>
    <xf numFmtId="176" fontId="4" fillId="0" borderId="10" xfId="0" applyNumberFormat="1" applyFont="1" applyBorder="1">
      <alignment vertical="center"/>
    </xf>
    <xf numFmtId="177" fontId="4" fillId="0" borderId="11" xfId="8" applyFont="1" applyBorder="1">
      <alignment vertical="center"/>
    </xf>
    <xf numFmtId="176" fontId="3" fillId="2" borderId="12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76" fontId="1" fillId="3" borderId="13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8" borderId="17" xfId="0" applyFont="1" applyFill="1" applyBorder="1">
      <alignment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4" fillId="0" borderId="19" xfId="0" applyFont="1" applyBorder="1">
      <alignment vertical="center"/>
    </xf>
    <xf numFmtId="0" fontId="9" fillId="0" borderId="7" xfId="0" applyFont="1" applyBorder="1" applyAlignment="1">
      <alignment horizontal="left" vertical="center" indent="2"/>
    </xf>
    <xf numFmtId="177" fontId="6" fillId="0" borderId="0" xfId="8" applyFont="1" applyAlignment="1">
      <alignment horizontal="center" vertical="center"/>
    </xf>
    <xf numFmtId="177" fontId="6" fillId="0" borderId="18" xfId="8" applyFont="1" applyBorder="1" applyAlignment="1">
      <alignment horizontal="center" vertical="center"/>
    </xf>
    <xf numFmtId="0" fontId="4" fillId="0" borderId="0" xfId="0" applyFont="1">
      <alignment vertical="center"/>
    </xf>
    <xf numFmtId="177" fontId="8" fillId="0" borderId="0" xfId="8" applyFont="1" applyBorder="1" applyAlignment="1">
      <alignment horizontal="center" vertical="center"/>
    </xf>
    <xf numFmtId="177" fontId="8" fillId="0" borderId="18" xfId="8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177" fontId="4" fillId="0" borderId="0" xfId="8" applyFont="1" applyBorder="1" applyAlignment="1">
      <alignment horizontal="right" vertical="center"/>
    </xf>
    <xf numFmtId="177" fontId="4" fillId="0" borderId="18" xfId="8" applyFont="1" applyBorder="1" applyAlignment="1">
      <alignment horizontal="righ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>
      <alignment vertical="center"/>
    </xf>
    <xf numFmtId="0" fontId="8" fillId="0" borderId="7" xfId="0" applyFont="1" applyBorder="1">
      <alignment vertical="center"/>
    </xf>
    <xf numFmtId="0" fontId="4" fillId="8" borderId="21" xfId="0" applyFont="1" applyFill="1" applyBorder="1">
      <alignment vertical="center"/>
    </xf>
    <xf numFmtId="0" fontId="9" fillId="0" borderId="10" xfId="0" applyFont="1" applyBorder="1" applyAlignment="1">
      <alignment horizontal="center" vertical="center"/>
    </xf>
    <xf numFmtId="177" fontId="9" fillId="0" borderId="1" xfId="8" applyFont="1" applyBorder="1" applyAlignment="1">
      <alignment horizontal="center" vertical="center"/>
    </xf>
    <xf numFmtId="177" fontId="9" fillId="0" borderId="22" xfId="8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>
      <alignment vertical="center"/>
    </xf>
    <xf numFmtId="0" fontId="4" fillId="0" borderId="24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"/>
  <sheetViews>
    <sheetView tabSelected="1" topLeftCell="B1" workbookViewId="0">
      <pane ySplit="2" topLeftCell="A3" activePane="bottomLeft" state="frozen"/>
      <selection/>
      <selection pane="bottomLeft" activeCell="L5" sqref="L5"/>
    </sheetView>
  </sheetViews>
  <sheetFormatPr defaultColWidth="9" defaultRowHeight="14.25"/>
  <cols>
    <col min="1" max="1" width="14.425" style="1" customWidth="1"/>
    <col min="2" max="3" width="10.5666666666667" customWidth="1"/>
    <col min="4" max="4" width="12.8583333333333" customWidth="1"/>
    <col min="5" max="5" width="16.425" style="1" customWidth="1"/>
    <col min="7" max="7" width="11.2833333333333" customWidth="1"/>
    <col min="8" max="8" width="10.2833333333333" customWidth="1"/>
    <col min="9" max="9" width="12" customWidth="1"/>
    <col min="10" max="10" width="11.5666666666667" customWidth="1"/>
    <col min="12" max="12" width="13.5666666666667" customWidth="1"/>
    <col min="13" max="14" width="14.5666666666667" customWidth="1"/>
  </cols>
  <sheetData>
    <row r="1" ht="21.75" spans="1:14">
      <c r="A1" s="2" t="s">
        <v>0</v>
      </c>
      <c r="B1" s="2"/>
      <c r="C1" s="2"/>
      <c r="D1" s="2"/>
      <c r="E1" s="3" t="s">
        <v>1</v>
      </c>
      <c r="F1" s="4"/>
      <c r="G1" s="4"/>
      <c r="H1" s="4"/>
      <c r="I1" s="4"/>
      <c r="J1" s="4"/>
      <c r="K1" s="22"/>
      <c r="L1" s="23" t="s">
        <v>2</v>
      </c>
      <c r="M1" s="23"/>
      <c r="N1" s="23"/>
    </row>
    <row r="2" ht="18" spans="1:25">
      <c r="A2" s="5" t="s">
        <v>3</v>
      </c>
      <c r="B2" s="6" t="s">
        <v>4</v>
      </c>
      <c r="C2" s="6" t="s">
        <v>5</v>
      </c>
      <c r="D2" s="7" t="s">
        <v>6</v>
      </c>
      <c r="E2" s="8" t="s">
        <v>3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24" t="s">
        <v>13</v>
      </c>
      <c r="M2" s="25"/>
      <c r="N2" s="25"/>
      <c r="O2" s="26"/>
      <c r="P2" s="27" t="s">
        <v>14</v>
      </c>
      <c r="Q2" s="50"/>
      <c r="R2" s="36"/>
      <c r="S2" s="36"/>
      <c r="T2" s="36"/>
      <c r="U2" s="36"/>
      <c r="V2" s="36"/>
      <c r="W2" s="36"/>
      <c r="X2" s="36"/>
      <c r="Y2" s="36"/>
    </row>
    <row r="3" ht="18" spans="1:17">
      <c r="A3" s="10">
        <v>43770</v>
      </c>
      <c r="B3" s="11" t="s">
        <v>15</v>
      </c>
      <c r="C3" s="11" t="s">
        <v>10</v>
      </c>
      <c r="D3" s="12">
        <v>6000</v>
      </c>
      <c r="E3" s="13">
        <v>43770</v>
      </c>
      <c r="F3" s="14"/>
      <c r="G3" s="14"/>
      <c r="H3" s="14"/>
      <c r="I3" s="14">
        <v>120</v>
      </c>
      <c r="J3" s="14"/>
      <c r="K3" s="28"/>
      <c r="L3" s="29" t="s">
        <v>16</v>
      </c>
      <c r="M3" s="30" t="s">
        <v>17</v>
      </c>
      <c r="N3" s="31" t="s">
        <v>18</v>
      </c>
      <c r="P3" s="32" t="s">
        <v>7</v>
      </c>
      <c r="Q3" s="51">
        <v>1000</v>
      </c>
    </row>
    <row r="4" ht="18" spans="1:26">
      <c r="A4" s="10">
        <v>43770</v>
      </c>
      <c r="B4" s="11" t="s">
        <v>15</v>
      </c>
      <c r="C4" s="11" t="s">
        <v>11</v>
      </c>
      <c r="D4" s="15">
        <v>1000</v>
      </c>
      <c r="E4" s="13">
        <v>43771</v>
      </c>
      <c r="F4" s="14"/>
      <c r="G4" s="14"/>
      <c r="H4" s="14"/>
      <c r="I4" s="14">
        <v>540</v>
      </c>
      <c r="J4" s="14"/>
      <c r="K4" s="28"/>
      <c r="L4" s="33" t="s">
        <v>15</v>
      </c>
      <c r="M4" s="34">
        <f>SUMIFS(D3:D34,B3:B34,L4)</f>
        <v>10000</v>
      </c>
      <c r="N4" s="35">
        <f t="shared" ref="N4:N12" si="0">M4</f>
        <v>10000</v>
      </c>
      <c r="O4" s="36"/>
      <c r="P4" s="32" t="s">
        <v>8</v>
      </c>
      <c r="Q4" s="51">
        <v>1000</v>
      </c>
      <c r="Z4" s="36"/>
    </row>
    <row r="5" ht="18" spans="1:17">
      <c r="A5" s="10">
        <v>43770</v>
      </c>
      <c r="B5" s="11" t="s">
        <v>15</v>
      </c>
      <c r="C5" s="11" t="s">
        <v>19</v>
      </c>
      <c r="D5" s="15">
        <v>3000</v>
      </c>
      <c r="E5" s="13">
        <v>43772</v>
      </c>
      <c r="F5" s="14"/>
      <c r="G5" s="14"/>
      <c r="H5" s="14"/>
      <c r="I5" s="14">
        <v>180</v>
      </c>
      <c r="J5" s="14"/>
      <c r="K5" s="28"/>
      <c r="L5" s="29" t="s">
        <v>20</v>
      </c>
      <c r="M5" s="37">
        <f>SUM(M6:M12)</f>
        <v>15910</v>
      </c>
      <c r="N5" s="38">
        <f t="shared" si="0"/>
        <v>15910</v>
      </c>
      <c r="O5" s="36"/>
      <c r="P5" s="32" t="s">
        <v>9</v>
      </c>
      <c r="Q5" s="51">
        <v>1000</v>
      </c>
    </row>
    <row r="6" ht="18" spans="1:17">
      <c r="A6" s="10"/>
      <c r="B6" s="11"/>
      <c r="C6" s="11"/>
      <c r="D6" s="15"/>
      <c r="E6" s="13">
        <v>43773</v>
      </c>
      <c r="F6" s="14"/>
      <c r="G6" s="14"/>
      <c r="H6" s="14"/>
      <c r="I6" s="14"/>
      <c r="J6" s="14">
        <v>250</v>
      </c>
      <c r="K6" s="28" t="s">
        <v>21</v>
      </c>
      <c r="L6" s="39" t="s">
        <v>7</v>
      </c>
      <c r="M6" s="40">
        <f>Q3-F34-SUMIFS(D3:D34,B3:B34,L6)+SUMIFS(D3:D34,C3:C34,L6)</f>
        <v>1000</v>
      </c>
      <c r="N6" s="41">
        <f t="shared" si="0"/>
        <v>1000</v>
      </c>
      <c r="O6" s="36"/>
      <c r="P6" s="32" t="s">
        <v>10</v>
      </c>
      <c r="Q6" s="51">
        <v>1000</v>
      </c>
    </row>
    <row r="7" ht="18" spans="1:25">
      <c r="A7" s="10"/>
      <c r="B7" s="11"/>
      <c r="C7" s="11"/>
      <c r="D7" s="15"/>
      <c r="E7" s="13">
        <v>43774</v>
      </c>
      <c r="F7" s="14"/>
      <c r="G7" s="14"/>
      <c r="H7" s="14"/>
      <c r="I7" s="14"/>
      <c r="J7" s="14"/>
      <c r="K7" s="28"/>
      <c r="L7" s="39" t="s">
        <v>8</v>
      </c>
      <c r="M7" s="40">
        <f>Q4-G34-SUMIFS(D3:D34,B3:B34,L7)+SUMIFS(D3:D34,C3:C34,L7)</f>
        <v>1000</v>
      </c>
      <c r="N7" s="41">
        <f t="shared" si="0"/>
        <v>1000</v>
      </c>
      <c r="O7" s="36"/>
      <c r="P7" s="32" t="s">
        <v>19</v>
      </c>
      <c r="Q7" s="51">
        <v>1000</v>
      </c>
      <c r="R7" s="36"/>
      <c r="S7" s="36"/>
      <c r="T7" s="36"/>
      <c r="U7" s="36"/>
      <c r="V7" s="36"/>
      <c r="W7" s="36"/>
      <c r="X7" s="36"/>
      <c r="Y7" s="36"/>
    </row>
    <row r="8" ht="18" spans="1:25">
      <c r="A8" s="10"/>
      <c r="B8" s="11"/>
      <c r="C8" s="11"/>
      <c r="D8" s="15"/>
      <c r="E8" s="13">
        <v>43775</v>
      </c>
      <c r="F8" s="14"/>
      <c r="G8" s="14"/>
      <c r="H8" s="14"/>
      <c r="I8" s="14"/>
      <c r="J8" s="14"/>
      <c r="K8" s="28"/>
      <c r="L8" s="39" t="s">
        <v>9</v>
      </c>
      <c r="M8" s="40">
        <f>Q5-H34-SUMIFS(D3:D34,B3:B34,L8)+SUMIFS(D3:D34,C3:C34,L8)</f>
        <v>1000</v>
      </c>
      <c r="N8" s="41">
        <f t="shared" si="0"/>
        <v>1000</v>
      </c>
      <c r="O8" s="36"/>
      <c r="P8" s="32" t="s">
        <v>11</v>
      </c>
      <c r="Q8" s="51">
        <v>1000</v>
      </c>
      <c r="R8" s="36"/>
      <c r="S8" s="36"/>
      <c r="T8" s="36"/>
      <c r="U8" s="36"/>
      <c r="V8" s="36"/>
      <c r="W8" s="36"/>
      <c r="X8" s="36"/>
      <c r="Y8" s="36"/>
    </row>
    <row r="9" ht="18" spans="1:25">
      <c r="A9" s="10"/>
      <c r="B9" s="11"/>
      <c r="C9" s="11"/>
      <c r="D9" s="15"/>
      <c r="E9" s="13">
        <v>43776</v>
      </c>
      <c r="F9" s="14"/>
      <c r="G9" s="14"/>
      <c r="H9" s="14"/>
      <c r="I9" s="14"/>
      <c r="J9" s="14"/>
      <c r="K9" s="28"/>
      <c r="L9" s="39" t="s">
        <v>10</v>
      </c>
      <c r="M9" s="40">
        <f>Q6-I34-SUMIFS(D3:D34,B3:B34,L9)+SUMIFS(D3:D34,C3:C34,L9)</f>
        <v>6160</v>
      </c>
      <c r="N9" s="41">
        <f t="shared" si="0"/>
        <v>6160</v>
      </c>
      <c r="O9" s="36"/>
      <c r="P9" s="32" t="s">
        <v>22</v>
      </c>
      <c r="Q9" s="51">
        <v>1000</v>
      </c>
      <c r="R9" s="36"/>
      <c r="S9" s="36"/>
      <c r="T9" s="36"/>
      <c r="U9" s="36"/>
      <c r="V9" s="36"/>
      <c r="W9" s="36"/>
      <c r="X9" s="36"/>
      <c r="Y9" s="36"/>
    </row>
    <row r="10" ht="18" spans="1:25">
      <c r="A10" s="10"/>
      <c r="B10" s="11"/>
      <c r="C10" s="11"/>
      <c r="D10" s="15"/>
      <c r="E10" s="13">
        <v>43777</v>
      </c>
      <c r="F10" s="14"/>
      <c r="G10" s="14"/>
      <c r="H10" s="14"/>
      <c r="I10" s="14"/>
      <c r="J10" s="14"/>
      <c r="K10" s="28"/>
      <c r="L10" s="39" t="s">
        <v>19</v>
      </c>
      <c r="M10" s="40">
        <f>Q7-SUMIFS(D3:D34,B3:B34,L10)+SUMIFS(D3:D34,C3:C34,L10)</f>
        <v>4000</v>
      </c>
      <c r="N10" s="41">
        <f t="shared" si="0"/>
        <v>4000</v>
      </c>
      <c r="O10" s="36"/>
      <c r="P10" s="42" t="s">
        <v>23</v>
      </c>
      <c r="Q10" s="51">
        <v>1000</v>
      </c>
      <c r="R10" s="36"/>
      <c r="S10" s="36"/>
      <c r="T10" s="36"/>
      <c r="U10" s="36"/>
      <c r="V10" s="36"/>
      <c r="W10" s="36"/>
      <c r="X10" s="36"/>
      <c r="Y10" s="36"/>
    </row>
    <row r="11" ht="18" spans="1:25">
      <c r="A11" s="10"/>
      <c r="B11" s="11"/>
      <c r="C11" s="11"/>
      <c r="D11" s="16"/>
      <c r="E11" s="13">
        <v>43778</v>
      </c>
      <c r="F11" s="14"/>
      <c r="G11" s="14"/>
      <c r="H11" s="14"/>
      <c r="I11" s="14"/>
      <c r="J11" s="14"/>
      <c r="K11" s="28"/>
      <c r="L11" s="39" t="s">
        <v>11</v>
      </c>
      <c r="M11" s="40">
        <f>Q8-J34-SUMIFS(D3:D34,B3:B34,L11)+SUMIFS(D3:D34,C3:C34,L11)</f>
        <v>1750</v>
      </c>
      <c r="N11" s="41">
        <f t="shared" si="0"/>
        <v>1750</v>
      </c>
      <c r="O11" s="36"/>
      <c r="P11" s="42" t="s">
        <v>24</v>
      </c>
      <c r="Q11" s="51">
        <v>1000</v>
      </c>
      <c r="R11" s="36"/>
      <c r="S11" s="36"/>
      <c r="T11" s="36"/>
      <c r="U11" s="36"/>
      <c r="V11" s="36"/>
      <c r="W11" s="36"/>
      <c r="X11" s="36"/>
      <c r="Y11" s="36"/>
    </row>
    <row r="12" ht="18" spans="1:25">
      <c r="A12" s="10"/>
      <c r="B12" s="11"/>
      <c r="C12" s="11"/>
      <c r="D12" s="12"/>
      <c r="E12" s="13">
        <v>43779</v>
      </c>
      <c r="F12" s="14"/>
      <c r="G12" s="14"/>
      <c r="H12" s="14"/>
      <c r="I12" s="14"/>
      <c r="J12" s="14"/>
      <c r="K12" s="28"/>
      <c r="L12" s="39" t="s">
        <v>22</v>
      </c>
      <c r="M12" s="40">
        <f>Q9-SUMIFS(D3:D34,B3:B34,L12)+SUMIFS(D3:D34,C3:C34,L12)</f>
        <v>1000</v>
      </c>
      <c r="N12" s="41">
        <f t="shared" si="0"/>
        <v>1000</v>
      </c>
      <c r="O12" s="36"/>
      <c r="P12" s="43" t="s">
        <v>25</v>
      </c>
      <c r="Q12" s="52">
        <v>1000</v>
      </c>
      <c r="R12" s="36"/>
      <c r="S12" s="36"/>
      <c r="T12" s="36"/>
      <c r="U12" s="36"/>
      <c r="V12" s="36"/>
      <c r="W12" s="36"/>
      <c r="X12" s="36"/>
      <c r="Y12" s="36"/>
    </row>
    <row r="13" ht="18" spans="1:25">
      <c r="A13" s="10"/>
      <c r="B13" s="11"/>
      <c r="C13" s="11"/>
      <c r="D13" s="12"/>
      <c r="E13" s="13">
        <v>43780</v>
      </c>
      <c r="F13" s="14"/>
      <c r="G13" s="14"/>
      <c r="H13" s="14"/>
      <c r="I13" s="14"/>
      <c r="J13" s="14"/>
      <c r="K13" s="28"/>
      <c r="L13" s="29" t="s">
        <v>23</v>
      </c>
      <c r="M13" s="37">
        <f>Q10-SUMIFS(D3:D34,B3:B34,L13)+SUMIFS(D3:D34,C3:C34,L13)</f>
        <v>1000</v>
      </c>
      <c r="N13" s="38">
        <v>1100</v>
      </c>
      <c r="O13" s="36"/>
      <c r="R13" s="36"/>
      <c r="S13" s="36"/>
      <c r="T13" s="36"/>
      <c r="U13" s="36"/>
      <c r="V13" s="36"/>
      <c r="W13" s="36"/>
      <c r="X13" s="36"/>
      <c r="Y13" s="36"/>
    </row>
    <row r="14" ht="18" spans="1:25">
      <c r="A14" s="10"/>
      <c r="B14" s="11"/>
      <c r="C14" s="11"/>
      <c r="D14" s="12"/>
      <c r="E14" s="13">
        <v>43781</v>
      </c>
      <c r="F14" s="14"/>
      <c r="G14" s="14"/>
      <c r="H14" s="14"/>
      <c r="I14" s="14"/>
      <c r="J14" s="14"/>
      <c r="K14" s="28"/>
      <c r="L14" s="44" t="s">
        <v>24</v>
      </c>
      <c r="M14" s="37">
        <f>Q11-SUMIFS(D3:D34,B3:B34,L15)+SUMIFS(D3:D34,C3:C34,L15)</f>
        <v>1000</v>
      </c>
      <c r="N14" s="38">
        <v>1300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ht="18" spans="1:25">
      <c r="A15" s="10"/>
      <c r="B15" s="11"/>
      <c r="C15" s="11"/>
      <c r="D15" s="12"/>
      <c r="E15" s="13">
        <v>43782</v>
      </c>
      <c r="F15" s="14"/>
      <c r="G15" s="14"/>
      <c r="H15" s="14"/>
      <c r="I15" s="14"/>
      <c r="J15" s="14"/>
      <c r="K15" s="45"/>
      <c r="L15" s="29" t="s">
        <v>25</v>
      </c>
      <c r="M15" s="37">
        <f>Q12-SUMIFS(D3:D34,B3:B34,L15)+SUMIFS(D3:D34,C3:C34,L15)</f>
        <v>1000</v>
      </c>
      <c r="N15" s="38">
        <v>2000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ht="18.75" spans="1:25">
      <c r="A16" s="10"/>
      <c r="B16" s="11"/>
      <c r="C16" s="11"/>
      <c r="D16" s="12"/>
      <c r="E16" s="13">
        <v>43783</v>
      </c>
      <c r="F16" s="14"/>
      <c r="G16" s="14"/>
      <c r="H16" s="14"/>
      <c r="I16" s="14"/>
      <c r="J16" s="14"/>
      <c r="K16" s="45"/>
      <c r="L16" s="46" t="s">
        <v>26</v>
      </c>
      <c r="M16" s="47">
        <f>M5+M13+M14+M15</f>
        <v>18910</v>
      </c>
      <c r="N16" s="48">
        <f>N5+N13+N14+N15</f>
        <v>20310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ht="18" spans="1:25">
      <c r="A17" s="10"/>
      <c r="B17" s="11"/>
      <c r="C17" s="11"/>
      <c r="D17" s="12"/>
      <c r="E17" s="13">
        <v>43784</v>
      </c>
      <c r="F17" s="14"/>
      <c r="G17" s="14"/>
      <c r="H17" s="14"/>
      <c r="I17" s="14"/>
      <c r="J17" s="14"/>
      <c r="K17" s="45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ht="18" spans="1:25">
      <c r="A18" s="10"/>
      <c r="B18" s="11"/>
      <c r="C18" s="11"/>
      <c r="D18" s="12"/>
      <c r="E18" s="13">
        <v>43785</v>
      </c>
      <c r="F18" s="14"/>
      <c r="G18" s="14"/>
      <c r="H18" s="14"/>
      <c r="I18" s="14"/>
      <c r="J18" s="14"/>
      <c r="K18" s="45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ht="18" spans="1:25">
      <c r="A19" s="10"/>
      <c r="B19" s="11"/>
      <c r="C19" s="11"/>
      <c r="D19" s="12"/>
      <c r="E19" s="13">
        <v>43786</v>
      </c>
      <c r="F19" s="14"/>
      <c r="G19" s="14"/>
      <c r="H19" s="14"/>
      <c r="I19" s="14"/>
      <c r="J19" s="14"/>
      <c r="K19" s="45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ht="18" spans="1:25">
      <c r="A20" s="10"/>
      <c r="B20" s="11"/>
      <c r="C20" s="11"/>
      <c r="D20" s="12"/>
      <c r="E20" s="13">
        <v>43787</v>
      </c>
      <c r="F20" s="14"/>
      <c r="G20" s="14"/>
      <c r="H20" s="14"/>
      <c r="I20" s="14"/>
      <c r="J20" s="14"/>
      <c r="K20" s="45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ht="18" spans="1:25">
      <c r="A21" s="10"/>
      <c r="B21" s="11"/>
      <c r="C21" s="11"/>
      <c r="D21" s="12"/>
      <c r="E21" s="13">
        <v>43788</v>
      </c>
      <c r="F21" s="14"/>
      <c r="G21" s="14"/>
      <c r="H21" s="14"/>
      <c r="I21" s="14"/>
      <c r="J21" s="14"/>
      <c r="K21" s="45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ht="18" spans="1:25">
      <c r="A22" s="10"/>
      <c r="B22" s="11"/>
      <c r="C22" s="11"/>
      <c r="D22" s="12"/>
      <c r="E22" s="13">
        <v>43789</v>
      </c>
      <c r="F22" s="14"/>
      <c r="G22" s="14"/>
      <c r="H22" s="14"/>
      <c r="I22" s="14"/>
      <c r="J22" s="14"/>
      <c r="K22" s="45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ht="18" spans="1:25">
      <c r="A23" s="17"/>
      <c r="B23" s="11"/>
      <c r="C23" s="11"/>
      <c r="D23" s="16"/>
      <c r="E23" s="13">
        <v>43790</v>
      </c>
      <c r="F23" s="14"/>
      <c r="G23" s="14"/>
      <c r="H23" s="14"/>
      <c r="I23" s="14"/>
      <c r="J23" s="14"/>
      <c r="K23" s="45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ht="18" spans="1:25">
      <c r="A24" s="17"/>
      <c r="B24" s="11"/>
      <c r="C24" s="11"/>
      <c r="D24" s="16"/>
      <c r="E24" s="13">
        <v>43791</v>
      </c>
      <c r="F24" s="14"/>
      <c r="G24" s="14"/>
      <c r="H24" s="14"/>
      <c r="I24" s="14"/>
      <c r="J24" s="14"/>
      <c r="K24" s="45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ht="18" spans="1:25">
      <c r="A25" s="10"/>
      <c r="B25" s="11"/>
      <c r="C25" s="11"/>
      <c r="D25" s="12"/>
      <c r="E25" s="13">
        <v>43792</v>
      </c>
      <c r="F25" s="14"/>
      <c r="G25" s="14"/>
      <c r="H25" s="14"/>
      <c r="I25" s="14"/>
      <c r="J25" s="14"/>
      <c r="K25" s="45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ht="18" spans="1:25">
      <c r="A26" s="10"/>
      <c r="B26" s="11"/>
      <c r="C26" s="11"/>
      <c r="D26" s="12"/>
      <c r="E26" s="13">
        <v>43793</v>
      </c>
      <c r="F26" s="14"/>
      <c r="G26" s="14"/>
      <c r="H26" s="14"/>
      <c r="I26" s="14"/>
      <c r="J26" s="14"/>
      <c r="K26" s="45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ht="18" spans="1:25">
      <c r="A27" s="10"/>
      <c r="B27" s="11"/>
      <c r="C27" s="11"/>
      <c r="D27" s="12"/>
      <c r="E27" s="13">
        <v>43794</v>
      </c>
      <c r="F27" s="14"/>
      <c r="G27" s="14"/>
      <c r="H27" s="14"/>
      <c r="I27" s="14"/>
      <c r="J27" s="14"/>
      <c r="K27" s="45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ht="18" spans="1:25">
      <c r="A28" s="10"/>
      <c r="B28" s="11"/>
      <c r="C28" s="11"/>
      <c r="D28" s="12"/>
      <c r="E28" s="13">
        <v>43795</v>
      </c>
      <c r="F28" s="14"/>
      <c r="G28" s="14"/>
      <c r="H28" s="14"/>
      <c r="I28" s="14"/>
      <c r="J28" s="14"/>
      <c r="K28" s="45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ht="18" spans="1:25">
      <c r="A29" s="10"/>
      <c r="B29" s="11"/>
      <c r="C29" s="11"/>
      <c r="D29" s="12"/>
      <c r="E29" s="13">
        <v>43796</v>
      </c>
      <c r="F29" s="14"/>
      <c r="G29" s="14"/>
      <c r="H29" s="14"/>
      <c r="I29" s="14"/>
      <c r="J29" s="14"/>
      <c r="K29" s="45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ht="18" spans="1:25">
      <c r="A30" s="10"/>
      <c r="B30" s="11"/>
      <c r="C30" s="11"/>
      <c r="D30" s="12"/>
      <c r="E30" s="13">
        <v>43797</v>
      </c>
      <c r="F30" s="14"/>
      <c r="G30" s="14"/>
      <c r="H30" s="14"/>
      <c r="I30" s="14"/>
      <c r="J30" s="14"/>
      <c r="K30" s="45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ht="18" spans="1:25">
      <c r="A31" s="10"/>
      <c r="B31" s="11"/>
      <c r="C31" s="11"/>
      <c r="D31" s="12"/>
      <c r="E31" s="13">
        <v>43798</v>
      </c>
      <c r="F31" s="14"/>
      <c r="G31" s="14"/>
      <c r="H31" s="14"/>
      <c r="I31" s="14"/>
      <c r="J31" s="14"/>
      <c r="K31" s="45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ht="18" spans="1:25">
      <c r="A32" s="10"/>
      <c r="B32" s="11"/>
      <c r="C32" s="11"/>
      <c r="D32" s="12"/>
      <c r="E32" s="13">
        <v>43799</v>
      </c>
      <c r="F32" s="14"/>
      <c r="G32" s="14"/>
      <c r="H32" s="14"/>
      <c r="I32" s="14"/>
      <c r="J32" s="14"/>
      <c r="K32" s="4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ht="18" spans="1:25">
      <c r="A33" s="10"/>
      <c r="B33" s="11"/>
      <c r="C33" s="11"/>
      <c r="D33" s="12"/>
      <c r="E33" s="13"/>
      <c r="F33" s="14"/>
      <c r="G33" s="14"/>
      <c r="H33" s="14"/>
      <c r="I33" s="14"/>
      <c r="J33" s="14"/>
      <c r="K33" s="45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ht="18.75" spans="1:25">
      <c r="A34" s="18"/>
      <c r="B34" s="11"/>
      <c r="C34" s="11"/>
      <c r="D34" s="19"/>
      <c r="E34" s="20" t="s">
        <v>26</v>
      </c>
      <c r="F34" s="21">
        <f t="shared" ref="F34:J34" si="1">SUM(F3:F33)</f>
        <v>0</v>
      </c>
      <c r="G34" s="21">
        <f t="shared" si="1"/>
        <v>0</v>
      </c>
      <c r="H34" s="21">
        <f t="shared" si="1"/>
        <v>0</v>
      </c>
      <c r="I34" s="21">
        <f t="shared" si="1"/>
        <v>840</v>
      </c>
      <c r="J34" s="21">
        <f t="shared" si="1"/>
        <v>250</v>
      </c>
      <c r="K34" s="49">
        <f>SUM(F34:J34)</f>
        <v>1090</v>
      </c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</sheetData>
  <mergeCells count="5">
    <mergeCell ref="A1:D1"/>
    <mergeCell ref="E1:K1"/>
    <mergeCell ref="L1:N1"/>
    <mergeCell ref="L2:N2"/>
    <mergeCell ref="P2:Q2"/>
  </mergeCells>
  <dataValidations count="1">
    <dataValidation type="list" allowBlank="1" showInputMessage="1" showErrorMessage="1" promptTitle="From" sqref="B3:C34">
      <formula1>"薪水收入,利息收入,租金收入,股票, 基金,房地產,現金,LINE,街口,消費帳戶,投資帳戶,娛樂帳戶,存款帳戶"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"/>
  <sheetViews>
    <sheetView workbookViewId="0">
      <selection activeCell="A3" sqref="A3"/>
    </sheetView>
  </sheetViews>
  <sheetFormatPr defaultColWidth="9" defaultRowHeight="14.25"/>
  <cols>
    <col min="1" max="1" width="14.425" style="1" customWidth="1"/>
    <col min="2" max="3" width="10.5666666666667" customWidth="1"/>
    <col min="4" max="4" width="12.8583333333333" customWidth="1"/>
    <col min="5" max="5" width="16.425" style="1" customWidth="1"/>
    <col min="7" max="7" width="11.2833333333333" customWidth="1"/>
    <col min="8" max="8" width="10.2833333333333" customWidth="1"/>
    <col min="9" max="9" width="12" customWidth="1"/>
    <col min="10" max="10" width="11.5666666666667" customWidth="1"/>
    <col min="12" max="12" width="13.5666666666667" customWidth="1"/>
    <col min="13" max="14" width="14.5666666666667" customWidth="1"/>
  </cols>
  <sheetData>
    <row r="1" ht="21.75" spans="1:14">
      <c r="A1" s="2" t="s">
        <v>0</v>
      </c>
      <c r="B1" s="2"/>
      <c r="C1" s="2"/>
      <c r="D1" s="2"/>
      <c r="E1" s="3" t="s">
        <v>1</v>
      </c>
      <c r="F1" s="4"/>
      <c r="G1" s="4"/>
      <c r="H1" s="4"/>
      <c r="I1" s="4"/>
      <c r="J1" s="4"/>
      <c r="K1" s="22"/>
      <c r="L1" s="23" t="s">
        <v>2</v>
      </c>
      <c r="M1" s="23"/>
      <c r="N1" s="23"/>
    </row>
    <row r="2" ht="18" spans="1:25">
      <c r="A2" s="5" t="s">
        <v>3</v>
      </c>
      <c r="B2" s="6" t="s">
        <v>4</v>
      </c>
      <c r="C2" s="6" t="s">
        <v>5</v>
      </c>
      <c r="D2" s="7" t="s">
        <v>6</v>
      </c>
      <c r="E2" s="8" t="s">
        <v>3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24" t="s">
        <v>13</v>
      </c>
      <c r="M2" s="25"/>
      <c r="N2" s="25"/>
      <c r="O2" s="26"/>
      <c r="P2" s="27" t="s">
        <v>14</v>
      </c>
      <c r="Q2" s="50"/>
      <c r="R2" s="36"/>
      <c r="S2" s="36"/>
      <c r="T2" s="36"/>
      <c r="U2" s="36"/>
      <c r="V2" s="36"/>
      <c r="W2" s="36"/>
      <c r="X2" s="36"/>
      <c r="Y2" s="36"/>
    </row>
    <row r="3" ht="18" spans="1:17">
      <c r="A3" s="10"/>
      <c r="B3" s="11"/>
      <c r="C3" s="11"/>
      <c r="D3" s="12"/>
      <c r="E3" s="13">
        <v>43770</v>
      </c>
      <c r="F3" s="14"/>
      <c r="G3" s="14"/>
      <c r="H3" s="14"/>
      <c r="I3" s="14"/>
      <c r="J3" s="14"/>
      <c r="K3" s="28"/>
      <c r="L3" s="29" t="s">
        <v>16</v>
      </c>
      <c r="M3" s="30" t="s">
        <v>17</v>
      </c>
      <c r="N3" s="31" t="s">
        <v>18</v>
      </c>
      <c r="P3" s="32" t="s">
        <v>7</v>
      </c>
      <c r="Q3" s="51"/>
    </row>
    <row r="4" ht="18" spans="1:26">
      <c r="A4" s="10"/>
      <c r="B4" s="11"/>
      <c r="C4" s="11"/>
      <c r="D4" s="15"/>
      <c r="E4" s="13">
        <v>43771</v>
      </c>
      <c r="F4" s="14"/>
      <c r="G4" s="14"/>
      <c r="H4" s="14"/>
      <c r="I4" s="14"/>
      <c r="J4" s="14"/>
      <c r="K4" s="28"/>
      <c r="L4" s="33" t="s">
        <v>27</v>
      </c>
      <c r="M4" s="34">
        <f>SUMIFS(D3:D34,B3:B34,L4)</f>
        <v>0</v>
      </c>
      <c r="N4" s="35">
        <f t="shared" ref="N4:N12" si="0">M4</f>
        <v>0</v>
      </c>
      <c r="O4" s="36"/>
      <c r="P4" s="32" t="s">
        <v>8</v>
      </c>
      <c r="Q4" s="51"/>
      <c r="Z4" s="36"/>
    </row>
    <row r="5" ht="18" spans="1:17">
      <c r="A5" s="10"/>
      <c r="B5" s="11"/>
      <c r="C5" s="11"/>
      <c r="D5" s="15"/>
      <c r="E5" s="13">
        <v>43772</v>
      </c>
      <c r="F5" s="14"/>
      <c r="G5" s="14"/>
      <c r="H5" s="14"/>
      <c r="I5" s="14"/>
      <c r="J5" s="14"/>
      <c r="K5" s="28"/>
      <c r="L5" s="29" t="s">
        <v>20</v>
      </c>
      <c r="M5" s="37">
        <f>SUM(M6:M12)</f>
        <v>0</v>
      </c>
      <c r="N5" s="38">
        <f t="shared" si="0"/>
        <v>0</v>
      </c>
      <c r="O5" s="36"/>
      <c r="P5" s="32" t="s">
        <v>9</v>
      </c>
      <c r="Q5" s="51"/>
    </row>
    <row r="6" ht="18" spans="1:17">
      <c r="A6" s="10"/>
      <c r="B6" s="11"/>
      <c r="C6" s="11"/>
      <c r="D6" s="15"/>
      <c r="E6" s="13">
        <v>43773</v>
      </c>
      <c r="F6" s="14"/>
      <c r="G6" s="14"/>
      <c r="H6" s="14"/>
      <c r="I6" s="14"/>
      <c r="J6" s="14"/>
      <c r="K6" s="28"/>
      <c r="L6" s="39" t="s">
        <v>7</v>
      </c>
      <c r="M6" s="40">
        <f>Q3-F34-SUMIFS(D3:D34,B3:B34,L6)+SUMIFS(D3:D34,C3:C34,L6)</f>
        <v>0</v>
      </c>
      <c r="N6" s="41">
        <f t="shared" si="0"/>
        <v>0</v>
      </c>
      <c r="O6" s="36"/>
      <c r="P6" s="32" t="s">
        <v>10</v>
      </c>
      <c r="Q6" s="51"/>
    </row>
    <row r="7" ht="18" spans="1:25">
      <c r="A7" s="10"/>
      <c r="B7" s="11"/>
      <c r="C7" s="11"/>
      <c r="D7" s="15"/>
      <c r="E7" s="13">
        <v>43774</v>
      </c>
      <c r="F7" s="14"/>
      <c r="G7" s="14"/>
      <c r="H7" s="14"/>
      <c r="I7" s="14"/>
      <c r="J7" s="14"/>
      <c r="K7" s="28"/>
      <c r="L7" s="39" t="s">
        <v>8</v>
      </c>
      <c r="M7" s="40">
        <f>Q4-G34-SUMIFS(D3:D34,B3:B34,L7)+SUMIFS(D3:D34,C3:C34,L7)</f>
        <v>0</v>
      </c>
      <c r="N7" s="41">
        <f t="shared" si="0"/>
        <v>0</v>
      </c>
      <c r="O7" s="36"/>
      <c r="P7" s="32" t="s">
        <v>19</v>
      </c>
      <c r="Q7" s="51"/>
      <c r="R7" s="36"/>
      <c r="S7" s="36"/>
      <c r="T7" s="36"/>
      <c r="U7" s="36"/>
      <c r="V7" s="36"/>
      <c r="W7" s="36"/>
      <c r="X7" s="36"/>
      <c r="Y7" s="36"/>
    </row>
    <row r="8" ht="18" spans="1:25">
      <c r="A8" s="10"/>
      <c r="B8" s="11"/>
      <c r="C8" s="11"/>
      <c r="D8" s="15"/>
      <c r="E8" s="13">
        <v>43775</v>
      </c>
      <c r="F8" s="14"/>
      <c r="G8" s="14"/>
      <c r="H8" s="14"/>
      <c r="I8" s="14"/>
      <c r="J8" s="14"/>
      <c r="K8" s="28"/>
      <c r="L8" s="39" t="s">
        <v>9</v>
      </c>
      <c r="M8" s="40">
        <f>Q5-H34-SUMIFS(D3:D34,B3:B34,L8)+SUMIFS(D3:D34,C3:C34,L8)</f>
        <v>0</v>
      </c>
      <c r="N8" s="41">
        <f t="shared" si="0"/>
        <v>0</v>
      </c>
      <c r="O8" s="36"/>
      <c r="P8" s="32" t="s">
        <v>11</v>
      </c>
      <c r="Q8" s="51"/>
      <c r="R8" s="36"/>
      <c r="S8" s="36"/>
      <c r="T8" s="36"/>
      <c r="U8" s="36"/>
      <c r="V8" s="36"/>
      <c r="W8" s="36"/>
      <c r="X8" s="36"/>
      <c r="Y8" s="36"/>
    </row>
    <row r="9" ht="18" spans="1:25">
      <c r="A9" s="10"/>
      <c r="B9" s="11"/>
      <c r="C9" s="11"/>
      <c r="D9" s="15"/>
      <c r="E9" s="13">
        <v>43776</v>
      </c>
      <c r="F9" s="14"/>
      <c r="G9" s="14"/>
      <c r="H9" s="14"/>
      <c r="I9" s="14"/>
      <c r="J9" s="14"/>
      <c r="K9" s="28"/>
      <c r="L9" s="39" t="s">
        <v>10</v>
      </c>
      <c r="M9" s="40">
        <f>Q6-I34-SUMIFS(D3:D34,B3:B34,L9)+SUMIFS(D3:D34,C3:C34,L9)</f>
        <v>0</v>
      </c>
      <c r="N9" s="41">
        <f t="shared" si="0"/>
        <v>0</v>
      </c>
      <c r="O9" s="36"/>
      <c r="P9" s="32" t="s">
        <v>22</v>
      </c>
      <c r="Q9" s="51"/>
      <c r="R9" s="36"/>
      <c r="S9" s="36"/>
      <c r="T9" s="36"/>
      <c r="U9" s="36"/>
      <c r="V9" s="36"/>
      <c r="W9" s="36"/>
      <c r="X9" s="36"/>
      <c r="Y9" s="36"/>
    </row>
    <row r="10" ht="18" spans="1:25">
      <c r="A10" s="10"/>
      <c r="B10" s="11"/>
      <c r="C10" s="11"/>
      <c r="D10" s="15"/>
      <c r="E10" s="13">
        <v>43777</v>
      </c>
      <c r="F10" s="14"/>
      <c r="G10" s="14"/>
      <c r="H10" s="14"/>
      <c r="I10" s="14"/>
      <c r="J10" s="14"/>
      <c r="K10" s="28"/>
      <c r="L10" s="39" t="s">
        <v>19</v>
      </c>
      <c r="M10" s="40">
        <f>Q7-SUMIFS(D3:D34,B3:B34,L10)+SUMIFS(D3:D34,C3:C34,L10)</f>
        <v>0</v>
      </c>
      <c r="N10" s="41">
        <f t="shared" si="0"/>
        <v>0</v>
      </c>
      <c r="O10" s="36"/>
      <c r="P10" s="42" t="s">
        <v>23</v>
      </c>
      <c r="Q10" s="51"/>
      <c r="R10" s="36"/>
      <c r="S10" s="36"/>
      <c r="T10" s="36"/>
      <c r="U10" s="36"/>
      <c r="V10" s="36"/>
      <c r="W10" s="36"/>
      <c r="X10" s="36"/>
      <c r="Y10" s="36"/>
    </row>
    <row r="11" ht="18" spans="1:25">
      <c r="A11" s="10"/>
      <c r="B11" s="11"/>
      <c r="C11" s="11"/>
      <c r="D11" s="16"/>
      <c r="E11" s="13">
        <v>43778</v>
      </c>
      <c r="F11" s="14"/>
      <c r="G11" s="14"/>
      <c r="H11" s="14"/>
      <c r="I11" s="14"/>
      <c r="J11" s="14"/>
      <c r="K11" s="28"/>
      <c r="L11" s="39" t="s">
        <v>11</v>
      </c>
      <c r="M11" s="40">
        <f>Q8-J34-SUMIFS(D3:D34,B3:B34,L11)+SUMIFS(D3:D34,C3:C34,L11)</f>
        <v>0</v>
      </c>
      <c r="N11" s="41">
        <f t="shared" si="0"/>
        <v>0</v>
      </c>
      <c r="O11" s="36"/>
      <c r="P11" s="42" t="s">
        <v>24</v>
      </c>
      <c r="Q11" s="51"/>
      <c r="R11" s="36"/>
      <c r="S11" s="36"/>
      <c r="T11" s="36"/>
      <c r="U11" s="36"/>
      <c r="V11" s="36"/>
      <c r="W11" s="36"/>
      <c r="X11" s="36"/>
      <c r="Y11" s="36"/>
    </row>
    <row r="12" ht="18" spans="1:25">
      <c r="A12" s="10"/>
      <c r="B12" s="11"/>
      <c r="C12" s="11"/>
      <c r="D12" s="12"/>
      <c r="E12" s="13">
        <v>43779</v>
      </c>
      <c r="F12" s="14"/>
      <c r="G12" s="14"/>
      <c r="H12" s="14"/>
      <c r="I12" s="14"/>
      <c r="J12" s="14"/>
      <c r="K12" s="28"/>
      <c r="L12" s="39" t="s">
        <v>22</v>
      </c>
      <c r="M12" s="40">
        <f>Q9-SUMIFS(D3:D34,B3:B34,L12)+SUMIFS(D3:D34,C3:C34,L12)</f>
        <v>0</v>
      </c>
      <c r="N12" s="41">
        <f t="shared" si="0"/>
        <v>0</v>
      </c>
      <c r="O12" s="36"/>
      <c r="P12" s="43" t="s">
        <v>25</v>
      </c>
      <c r="Q12" s="52"/>
      <c r="R12" s="36"/>
      <c r="S12" s="36"/>
      <c r="T12" s="36"/>
      <c r="U12" s="36"/>
      <c r="V12" s="36"/>
      <c r="W12" s="36"/>
      <c r="X12" s="36"/>
      <c r="Y12" s="36"/>
    </row>
    <row r="13" ht="18" spans="1:25">
      <c r="A13" s="10"/>
      <c r="B13" s="11"/>
      <c r="C13" s="11"/>
      <c r="D13" s="12"/>
      <c r="E13" s="13">
        <v>43780</v>
      </c>
      <c r="F13" s="14"/>
      <c r="G13" s="14"/>
      <c r="H13" s="14"/>
      <c r="I13" s="14"/>
      <c r="J13" s="14"/>
      <c r="K13" s="28"/>
      <c r="L13" s="29" t="s">
        <v>23</v>
      </c>
      <c r="M13" s="37">
        <f>Q10-SUMIFS(D3:D34,B3:B34,L13)+SUMIFS(D3:D34,C3:C34,L13)</f>
        <v>0</v>
      </c>
      <c r="N13" s="38"/>
      <c r="O13" s="36"/>
      <c r="R13" s="36"/>
      <c r="S13" s="36"/>
      <c r="T13" s="36"/>
      <c r="U13" s="36"/>
      <c r="V13" s="36"/>
      <c r="W13" s="36"/>
      <c r="X13" s="36"/>
      <c r="Y13" s="36"/>
    </row>
    <row r="14" ht="18" spans="1:25">
      <c r="A14" s="10"/>
      <c r="B14" s="11"/>
      <c r="C14" s="11"/>
      <c r="D14" s="12"/>
      <c r="E14" s="13">
        <v>43781</v>
      </c>
      <c r="F14" s="14"/>
      <c r="G14" s="14"/>
      <c r="H14" s="14"/>
      <c r="I14" s="14"/>
      <c r="J14" s="14"/>
      <c r="K14" s="28"/>
      <c r="L14" s="44" t="s">
        <v>24</v>
      </c>
      <c r="M14" s="37">
        <f>Q11-SUMIFS(D3:D34,B3:B34,L15)+SUMIFS(D3:D34,C3:C34,L15)</f>
        <v>0</v>
      </c>
      <c r="N14" s="38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ht="18" spans="1:25">
      <c r="A15" s="10"/>
      <c r="B15" s="11"/>
      <c r="C15" s="11"/>
      <c r="D15" s="12"/>
      <c r="E15" s="13">
        <v>43782</v>
      </c>
      <c r="F15" s="14"/>
      <c r="G15" s="14"/>
      <c r="H15" s="14"/>
      <c r="I15" s="14"/>
      <c r="J15" s="14"/>
      <c r="K15" s="45"/>
      <c r="L15" s="29" t="s">
        <v>25</v>
      </c>
      <c r="M15" s="37">
        <f>Q12-SUMIFS(D3:D34,B3:B34,L15)+SUMIFS(D3:D34,C3:C34,L15)</f>
        <v>0</v>
      </c>
      <c r="N15" s="38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ht="18.75" spans="1:25">
      <c r="A16" s="10"/>
      <c r="B16" s="11"/>
      <c r="C16" s="11"/>
      <c r="D16" s="12"/>
      <c r="E16" s="13">
        <v>43783</v>
      </c>
      <c r="F16" s="14"/>
      <c r="G16" s="14"/>
      <c r="H16" s="14"/>
      <c r="I16" s="14"/>
      <c r="J16" s="14"/>
      <c r="K16" s="45"/>
      <c r="L16" s="46" t="s">
        <v>26</v>
      </c>
      <c r="M16" s="47">
        <f>M5+M13+M14+M15</f>
        <v>0</v>
      </c>
      <c r="N16" s="48">
        <f>N5+N13+N14+N15</f>
        <v>0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ht="18" spans="1:25">
      <c r="A17" s="10"/>
      <c r="B17" s="11"/>
      <c r="C17" s="11"/>
      <c r="D17" s="12"/>
      <c r="E17" s="13">
        <v>43784</v>
      </c>
      <c r="F17" s="14"/>
      <c r="G17" s="14"/>
      <c r="H17" s="14"/>
      <c r="I17" s="14"/>
      <c r="J17" s="14"/>
      <c r="K17" s="45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ht="18" spans="1:25">
      <c r="A18" s="10"/>
      <c r="B18" s="11"/>
      <c r="C18" s="11"/>
      <c r="D18" s="12"/>
      <c r="E18" s="13">
        <v>43785</v>
      </c>
      <c r="F18" s="14"/>
      <c r="G18" s="14"/>
      <c r="H18" s="14"/>
      <c r="I18" s="14"/>
      <c r="J18" s="14"/>
      <c r="K18" s="45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ht="18" spans="1:25">
      <c r="A19" s="10"/>
      <c r="B19" s="11"/>
      <c r="C19" s="11"/>
      <c r="D19" s="12"/>
      <c r="E19" s="13">
        <v>43786</v>
      </c>
      <c r="F19" s="14"/>
      <c r="G19" s="14"/>
      <c r="H19" s="14"/>
      <c r="I19" s="14"/>
      <c r="J19" s="14"/>
      <c r="K19" s="45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ht="18" spans="1:25">
      <c r="A20" s="10"/>
      <c r="B20" s="11"/>
      <c r="C20" s="11"/>
      <c r="D20" s="12"/>
      <c r="E20" s="13">
        <v>43787</v>
      </c>
      <c r="F20" s="14"/>
      <c r="G20" s="14"/>
      <c r="H20" s="14"/>
      <c r="I20" s="14"/>
      <c r="J20" s="14"/>
      <c r="K20" s="45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ht="18" spans="1:25">
      <c r="A21" s="10"/>
      <c r="B21" s="11"/>
      <c r="C21" s="11"/>
      <c r="D21" s="12"/>
      <c r="E21" s="13">
        <v>43788</v>
      </c>
      <c r="F21" s="14"/>
      <c r="G21" s="14"/>
      <c r="H21" s="14"/>
      <c r="I21" s="14"/>
      <c r="J21" s="14"/>
      <c r="K21" s="45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ht="18" spans="1:25">
      <c r="A22" s="10"/>
      <c r="B22" s="11"/>
      <c r="C22" s="11"/>
      <c r="D22" s="12"/>
      <c r="E22" s="13">
        <v>43789</v>
      </c>
      <c r="F22" s="14"/>
      <c r="G22" s="14"/>
      <c r="H22" s="14"/>
      <c r="I22" s="14"/>
      <c r="J22" s="14"/>
      <c r="K22" s="45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ht="18" spans="1:25">
      <c r="A23" s="17"/>
      <c r="B23" s="11"/>
      <c r="C23" s="11"/>
      <c r="D23" s="16"/>
      <c r="E23" s="13">
        <v>43790</v>
      </c>
      <c r="F23" s="14"/>
      <c r="G23" s="14"/>
      <c r="H23" s="14"/>
      <c r="I23" s="14"/>
      <c r="J23" s="14"/>
      <c r="K23" s="45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ht="18" spans="1:25">
      <c r="A24" s="17"/>
      <c r="B24" s="11"/>
      <c r="C24" s="11"/>
      <c r="D24" s="16"/>
      <c r="E24" s="13">
        <v>43791</v>
      </c>
      <c r="F24" s="14"/>
      <c r="G24" s="14"/>
      <c r="H24" s="14"/>
      <c r="I24" s="14"/>
      <c r="J24" s="14"/>
      <c r="K24" s="45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ht="18" spans="1:25">
      <c r="A25" s="10"/>
      <c r="B25" s="11"/>
      <c r="C25" s="11"/>
      <c r="D25" s="12"/>
      <c r="E25" s="13">
        <v>43792</v>
      </c>
      <c r="F25" s="14"/>
      <c r="G25" s="14"/>
      <c r="H25" s="14"/>
      <c r="I25" s="14"/>
      <c r="J25" s="14"/>
      <c r="K25" s="45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ht="18" spans="1:25">
      <c r="A26" s="10"/>
      <c r="B26" s="11"/>
      <c r="C26" s="11"/>
      <c r="D26" s="12"/>
      <c r="E26" s="13">
        <v>43793</v>
      </c>
      <c r="F26" s="14"/>
      <c r="G26" s="14"/>
      <c r="H26" s="14"/>
      <c r="I26" s="14"/>
      <c r="J26" s="14"/>
      <c r="K26" s="45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ht="18" spans="1:25">
      <c r="A27" s="10"/>
      <c r="B27" s="11"/>
      <c r="C27" s="11"/>
      <c r="D27" s="12"/>
      <c r="E27" s="13">
        <v>43794</v>
      </c>
      <c r="F27" s="14"/>
      <c r="G27" s="14"/>
      <c r="H27" s="14"/>
      <c r="I27" s="14"/>
      <c r="J27" s="14"/>
      <c r="K27" s="45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ht="18" spans="1:25">
      <c r="A28" s="10"/>
      <c r="B28" s="11"/>
      <c r="C28" s="11"/>
      <c r="D28" s="12"/>
      <c r="E28" s="13">
        <v>43795</v>
      </c>
      <c r="F28" s="14"/>
      <c r="G28" s="14"/>
      <c r="H28" s="14"/>
      <c r="I28" s="14"/>
      <c r="J28" s="14"/>
      <c r="K28" s="45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ht="18" spans="1:25">
      <c r="A29" s="10"/>
      <c r="B29" s="11"/>
      <c r="C29" s="11"/>
      <c r="D29" s="12"/>
      <c r="E29" s="13">
        <v>43796</v>
      </c>
      <c r="F29" s="14"/>
      <c r="G29" s="14"/>
      <c r="H29" s="14"/>
      <c r="I29" s="14"/>
      <c r="J29" s="14"/>
      <c r="K29" s="45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ht="18" spans="1:25">
      <c r="A30" s="10"/>
      <c r="B30" s="11"/>
      <c r="C30" s="11"/>
      <c r="D30" s="12"/>
      <c r="E30" s="13">
        <v>43797</v>
      </c>
      <c r="F30" s="14"/>
      <c r="G30" s="14"/>
      <c r="H30" s="14"/>
      <c r="I30" s="14"/>
      <c r="J30" s="14"/>
      <c r="K30" s="45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ht="18" spans="1:25">
      <c r="A31" s="10"/>
      <c r="B31" s="11"/>
      <c r="C31" s="11"/>
      <c r="D31" s="12"/>
      <c r="E31" s="13">
        <v>43798</v>
      </c>
      <c r="F31" s="14"/>
      <c r="G31" s="14"/>
      <c r="H31" s="14"/>
      <c r="I31" s="14"/>
      <c r="J31" s="14"/>
      <c r="K31" s="45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ht="18" spans="1:25">
      <c r="A32" s="10"/>
      <c r="B32" s="11"/>
      <c r="C32" s="11"/>
      <c r="D32" s="12"/>
      <c r="E32" s="13">
        <v>43799</v>
      </c>
      <c r="F32" s="14"/>
      <c r="G32" s="14"/>
      <c r="H32" s="14"/>
      <c r="I32" s="14"/>
      <c r="J32" s="14"/>
      <c r="K32" s="4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ht="18" spans="1:25">
      <c r="A33" s="10"/>
      <c r="B33" s="11"/>
      <c r="C33" s="11"/>
      <c r="D33" s="12"/>
      <c r="E33" s="13"/>
      <c r="F33" s="14"/>
      <c r="G33" s="14"/>
      <c r="H33" s="14"/>
      <c r="I33" s="14"/>
      <c r="J33" s="14"/>
      <c r="K33" s="45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ht="18.75" spans="1:25">
      <c r="A34" s="18"/>
      <c r="B34" s="11"/>
      <c r="C34" s="11"/>
      <c r="D34" s="19"/>
      <c r="E34" s="20" t="s">
        <v>26</v>
      </c>
      <c r="F34" s="21">
        <f t="shared" ref="F34:J34" si="1">SUM(F3:F33)</f>
        <v>0</v>
      </c>
      <c r="G34" s="21">
        <f t="shared" si="1"/>
        <v>0</v>
      </c>
      <c r="H34" s="21">
        <f t="shared" si="1"/>
        <v>0</v>
      </c>
      <c r="I34" s="21">
        <f t="shared" si="1"/>
        <v>0</v>
      </c>
      <c r="J34" s="21">
        <f t="shared" si="1"/>
        <v>0</v>
      </c>
      <c r="K34" s="49">
        <f>SUM(F34:J34)</f>
        <v>0</v>
      </c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</sheetData>
  <mergeCells count="5">
    <mergeCell ref="A1:D1"/>
    <mergeCell ref="E1:K1"/>
    <mergeCell ref="L1:N1"/>
    <mergeCell ref="L2:N2"/>
    <mergeCell ref="P2:Q2"/>
  </mergeCells>
  <dataValidations count="1">
    <dataValidation type="list" allowBlank="1" showInputMessage="1" showErrorMessage="1" promptTitle="From" sqref="B3:C34">
      <formula1>"薪水收入,利息收入,租金收入,股票, 基金,房地產,現金,LINE,街口,消費帳戶,投資帳戶,娛樂帳戶,存款帳戶"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範例</vt:lpstr>
      <vt:lpstr>空白表格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隔壁表哥</dc:creator>
  <cp:lastModifiedBy>Administrator</cp:lastModifiedBy>
  <dcterms:created xsi:type="dcterms:W3CDTF">2019-11-16T14:22:00Z</dcterms:created>
  <dcterms:modified xsi:type="dcterms:W3CDTF">2019-12-28T00:43:42Z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2052-11.1.0.9141</vt:lpwstr>
  </property>
</Properties>
</file>