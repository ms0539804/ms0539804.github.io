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D:\Page\ms0539804git.github.io\source\download\"/>
    </mc:Choice>
  </mc:AlternateContent>
  <bookViews>
    <workbookView xWindow="0" yWindow="0" windowWidth="23445" windowHeight="9840" activeTab="4"/>
  </bookViews>
  <sheets>
    <sheet name="帳戶理財範例" sheetId="1" r:id="rId1"/>
    <sheet name="空白表格" sheetId="2" r:id="rId2"/>
    <sheet name="預算編列" sheetId="3" r:id="rId3"/>
    <sheet name="股票帳本" sheetId="4" r:id="rId4"/>
    <sheet name="Sheet3" sheetId="5" r:id="rId5"/>
  </sheets>
  <definedNames>
    <definedName name="_xlnm._FilterDatabase" localSheetId="3" hidden="1">股票帳本!$A$3:$M$4</definedName>
  </definedNames>
  <calcPr calcId="162913"/>
</workbook>
</file>

<file path=xl/calcChain.xml><?xml version="1.0" encoding="utf-8"?>
<calcChain xmlns="http://schemas.openxmlformats.org/spreadsheetml/2006/main">
  <c r="H2" i="5" l="1"/>
  <c r="I4" i="4"/>
  <c r="J4" i="4"/>
  <c r="R39" i="3"/>
  <c r="R38" i="3"/>
  <c r="R37" i="3"/>
  <c r="R36" i="3"/>
  <c r="R35" i="3"/>
  <c r="R34" i="3"/>
  <c r="R33" i="3"/>
  <c r="R32" i="3"/>
  <c r="R31" i="3"/>
  <c r="R30" i="3"/>
  <c r="R29" i="3"/>
  <c r="R28" i="3"/>
  <c r="R27" i="3"/>
  <c r="R26" i="3"/>
  <c r="R25" i="3"/>
  <c r="R24" i="3"/>
  <c r="R23" i="3"/>
  <c r="R22" i="3"/>
  <c r="R21" i="3"/>
  <c r="R20" i="3"/>
  <c r="R19" i="3"/>
  <c r="R18" i="3"/>
  <c r="R17" i="3"/>
  <c r="R16" i="3"/>
  <c r="R15" i="3"/>
  <c r="R14" i="3"/>
  <c r="R13" i="3"/>
  <c r="R12" i="3"/>
  <c r="R11" i="3"/>
  <c r="R10" i="3"/>
  <c r="R9" i="3"/>
  <c r="N8" i="3"/>
  <c r="J8" i="3"/>
  <c r="F8" i="3"/>
  <c r="B8" i="3"/>
  <c r="Q7" i="3"/>
  <c r="Q8" i="3" s="1"/>
  <c r="P7" i="3"/>
  <c r="P8" i="3" s="1"/>
  <c r="O7" i="3"/>
  <c r="O8" i="3" s="1"/>
  <c r="N7" i="3"/>
  <c r="M7" i="3"/>
  <c r="M8" i="3" s="1"/>
  <c r="L7" i="3"/>
  <c r="L8" i="3" s="1"/>
  <c r="K7" i="3"/>
  <c r="K8" i="3" s="1"/>
  <c r="J7" i="3"/>
  <c r="I7" i="3"/>
  <c r="I8" i="3" s="1"/>
  <c r="H7" i="3"/>
  <c r="H8" i="3" s="1"/>
  <c r="G7" i="3"/>
  <c r="G8" i="3" s="1"/>
  <c r="F7" i="3"/>
  <c r="E7" i="3"/>
  <c r="E8" i="3" s="1"/>
  <c r="D7" i="3"/>
  <c r="D8" i="3" s="1"/>
  <c r="C7" i="3"/>
  <c r="C8" i="3" s="1"/>
  <c r="B7" i="3"/>
  <c r="R7" i="3" s="1"/>
  <c r="E1" i="3" s="1"/>
  <c r="G1" i="3" s="1"/>
  <c r="R6" i="3"/>
  <c r="J34" i="2"/>
  <c r="I34" i="2"/>
  <c r="H34" i="2"/>
  <c r="M8" i="2" s="1"/>
  <c r="N8" i="2" s="1"/>
  <c r="G34" i="2"/>
  <c r="F34" i="2"/>
  <c r="K34" i="2" s="1"/>
  <c r="M15" i="2"/>
  <c r="M14" i="2"/>
  <c r="M13" i="2"/>
  <c r="N12" i="2"/>
  <c r="M12" i="2"/>
  <c r="M11" i="2"/>
  <c r="N11" i="2" s="1"/>
  <c r="N10" i="2"/>
  <c r="M10" i="2"/>
  <c r="M9" i="2"/>
  <c r="N9" i="2" s="1"/>
  <c r="M7" i="2"/>
  <c r="N7" i="2" s="1"/>
  <c r="N6" i="2"/>
  <c r="M6" i="2"/>
  <c r="N4" i="2"/>
  <c r="M4" i="2"/>
  <c r="J34" i="1"/>
  <c r="I34" i="1"/>
  <c r="H34" i="1"/>
  <c r="G34" i="1"/>
  <c r="F34" i="1"/>
  <c r="K34" i="1" s="1"/>
  <c r="M15" i="1"/>
  <c r="M14" i="1"/>
  <c r="M13" i="1"/>
  <c r="N12" i="1"/>
  <c r="M12" i="1"/>
  <c r="M11" i="1"/>
  <c r="N11" i="1" s="1"/>
  <c r="M10" i="1"/>
  <c r="N10" i="1" s="1"/>
  <c r="M9" i="1"/>
  <c r="N9" i="1" s="1"/>
  <c r="M8" i="1"/>
  <c r="N8" i="1" s="1"/>
  <c r="M7" i="1"/>
  <c r="N7" i="1" s="1"/>
  <c r="M4" i="1"/>
  <c r="N4" i="1" s="1"/>
  <c r="L4" i="4" l="1"/>
  <c r="R8" i="3"/>
  <c r="M5" i="2"/>
  <c r="M6" i="1"/>
  <c r="N6" i="1" l="1"/>
  <c r="M5" i="1"/>
  <c r="M16" i="2"/>
  <c r="N5" i="2"/>
  <c r="N16" i="2" s="1"/>
  <c r="M16" i="1" l="1"/>
  <c r="N5" i="1"/>
  <c r="N16" i="1" s="1"/>
</calcChain>
</file>

<file path=xl/sharedStrings.xml><?xml version="1.0" encoding="utf-8"?>
<sst xmlns="http://schemas.openxmlformats.org/spreadsheetml/2006/main" count="142" uniqueCount="76">
  <si>
    <t>帳戶劃轉</t>
  </si>
  <si>
    <t>消費記帳</t>
  </si>
  <si>
    <t>資產明細</t>
  </si>
  <si>
    <t>日期</t>
  </si>
  <si>
    <t>轉出</t>
  </si>
  <si>
    <t>轉入</t>
  </si>
  <si>
    <t>金額</t>
  </si>
  <si>
    <t>現金</t>
  </si>
  <si>
    <t>LINE</t>
  </si>
  <si>
    <t>街口</t>
  </si>
  <si>
    <t>消費帳戶</t>
  </si>
  <si>
    <t>娛樂帳戶</t>
  </si>
  <si>
    <t>備註</t>
  </si>
  <si>
    <t>資產總表</t>
  </si>
  <si>
    <t>上月資產黏貼</t>
  </si>
  <si>
    <t>薪水收入</t>
  </si>
  <si>
    <t>專案</t>
  </si>
  <si>
    <t>資產價格</t>
  </si>
  <si>
    <t>即時價格</t>
  </si>
  <si>
    <t>存款帳戶</t>
  </si>
  <si>
    <t>現金資產</t>
  </si>
  <si>
    <t>KTV250</t>
  </si>
  <si>
    <t>投資帳戶</t>
  </si>
  <si>
    <t>基金資產</t>
  </si>
  <si>
    <t>股票資產</t>
  </si>
  <si>
    <t>房地產</t>
  </si>
  <si>
    <t>總額</t>
  </si>
  <si>
    <t>工資收入</t>
  </si>
  <si>
    <t>收入</t>
    <phoneticPr fontId="12" type="noConversion"/>
  </si>
  <si>
    <t>支出</t>
    <phoneticPr fontId="12" type="noConversion"/>
  </si>
  <si>
    <t>結餘</t>
    <phoneticPr fontId="12" type="noConversion"/>
  </si>
  <si>
    <t>浮動費用</t>
    <phoneticPr fontId="12" type="noConversion"/>
  </si>
  <si>
    <t>固定費用</t>
    <phoneticPr fontId="12" type="noConversion"/>
  </si>
  <si>
    <t>總計</t>
    <phoneticPr fontId="12" type="noConversion"/>
  </si>
  <si>
    <t>三餐</t>
    <phoneticPr fontId="12" type="noConversion"/>
  </si>
  <si>
    <t>交通費</t>
    <phoneticPr fontId="12" type="noConversion"/>
  </si>
  <si>
    <t>娛樂費</t>
    <phoneticPr fontId="12" type="noConversion"/>
  </si>
  <si>
    <t>雜項支出</t>
    <phoneticPr fontId="12" type="noConversion"/>
  </si>
  <si>
    <t>治裝費</t>
    <phoneticPr fontId="12" type="noConversion"/>
  </si>
  <si>
    <t>交際費</t>
    <phoneticPr fontId="12" type="noConversion"/>
  </si>
  <si>
    <t>電費</t>
    <phoneticPr fontId="12" type="noConversion"/>
  </si>
  <si>
    <t>水費</t>
    <phoneticPr fontId="12" type="noConversion"/>
  </si>
  <si>
    <t>天然氣</t>
    <phoneticPr fontId="12" type="noConversion"/>
  </si>
  <si>
    <t>電話費</t>
    <phoneticPr fontId="12" type="noConversion"/>
  </si>
  <si>
    <t>房租</t>
    <phoneticPr fontId="12" type="noConversion"/>
  </si>
  <si>
    <t>管理費</t>
    <phoneticPr fontId="12" type="noConversion"/>
  </si>
  <si>
    <t>網路</t>
    <phoneticPr fontId="12" type="noConversion"/>
  </si>
  <si>
    <t>保險</t>
    <phoneticPr fontId="12" type="noConversion"/>
  </si>
  <si>
    <t>貸款</t>
    <phoneticPr fontId="12" type="noConversion"/>
  </si>
  <si>
    <t>稅金</t>
    <phoneticPr fontId="12" type="noConversion"/>
  </si>
  <si>
    <t>預算</t>
    <phoneticPr fontId="12" type="noConversion"/>
  </si>
  <si>
    <t>實際花費</t>
    <phoneticPr fontId="12" type="noConversion"/>
  </si>
  <si>
    <t>股票代碼</t>
    <phoneticPr fontId="12" type="noConversion"/>
  </si>
  <si>
    <t>股票名稱</t>
    <phoneticPr fontId="12" type="noConversion"/>
  </si>
  <si>
    <t>買入時間</t>
    <phoneticPr fontId="12" type="noConversion"/>
  </si>
  <si>
    <t>買入股數</t>
    <phoneticPr fontId="12" type="noConversion"/>
  </si>
  <si>
    <t>賣出時間</t>
    <phoneticPr fontId="12" type="noConversion"/>
  </si>
  <si>
    <t>投資損益</t>
    <phoneticPr fontId="12" type="noConversion"/>
  </si>
  <si>
    <t>備注</t>
    <phoneticPr fontId="12" type="noConversion"/>
  </si>
  <si>
    <t>賣出股數</t>
    <phoneticPr fontId="11" type="noConversion"/>
  </si>
  <si>
    <t>手續費</t>
    <phoneticPr fontId="11" type="noConversion"/>
  </si>
  <si>
    <t>稅費</t>
    <phoneticPr fontId="11" type="noConversion"/>
  </si>
  <si>
    <t>股利</t>
    <phoneticPr fontId="11" type="noConversion"/>
  </si>
  <si>
    <t>買入價格</t>
    <phoneticPr fontId="11" type="noConversion"/>
  </si>
  <si>
    <t>手續費折數</t>
    <phoneticPr fontId="11" type="noConversion"/>
  </si>
  <si>
    <t>折</t>
    <phoneticPr fontId="11" type="noConversion"/>
  </si>
  <si>
    <t>賣出價格</t>
    <phoneticPr fontId="11" type="noConversion"/>
  </si>
  <si>
    <t>投資項目</t>
    <phoneticPr fontId="12" type="noConversion"/>
  </si>
  <si>
    <t>投資模式</t>
    <phoneticPr fontId="12" type="noConversion"/>
  </si>
  <si>
    <t>投資日期</t>
    <phoneticPr fontId="12" type="noConversion"/>
  </si>
  <si>
    <t>投入金額</t>
    <phoneticPr fontId="12" type="noConversion"/>
  </si>
  <si>
    <t>資產現值</t>
    <phoneticPr fontId="12" type="noConversion"/>
  </si>
  <si>
    <t>資產淨值</t>
    <phoneticPr fontId="12" type="noConversion"/>
  </si>
  <si>
    <t>財務目標</t>
    <phoneticPr fontId="12" type="noConversion"/>
  </si>
  <si>
    <t>年化報酬</t>
    <phoneticPr fontId="12" type="noConversion"/>
  </si>
  <si>
    <t>月金流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</si>
</sst>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76" formatCode="yyyy/mm/dd"/>
  </numFmts>
  <fonts count="14">
    <font>
      <sz val="11"/>
      <color theme="1"/>
      <name val="新細明體"/>
      <charset val="136"/>
      <scheme val="minor"/>
    </font>
    <font>
      <b/>
      <sz val="14"/>
      <color theme="1"/>
      <name val="微软雅黑"/>
      <family val="2"/>
      <charset val="134"/>
    </font>
    <font>
      <sz val="12"/>
      <color theme="0"/>
      <name val="微软雅黑"/>
      <family val="2"/>
      <charset val="134"/>
    </font>
    <font>
      <b/>
      <sz val="12"/>
      <color theme="0"/>
      <name val="微软雅黑"/>
      <family val="2"/>
      <charset val="134"/>
    </font>
    <font>
      <sz val="11"/>
      <color theme="1"/>
      <name val="微软雅黑"/>
      <family val="2"/>
      <charset val="134"/>
    </font>
    <font>
      <sz val="11"/>
      <name val="微软雅黑"/>
      <family val="2"/>
      <charset val="134"/>
    </font>
    <font>
      <sz val="11"/>
      <color rgb="FFFF0000"/>
      <name val="微软雅黑"/>
      <family val="2"/>
      <charset val="134"/>
    </font>
    <font>
      <b/>
      <sz val="11"/>
      <color theme="0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b/>
      <sz val="11"/>
      <color rgb="FFFF0000"/>
      <name val="微软雅黑"/>
      <family val="2"/>
      <charset val="134"/>
    </font>
    <font>
      <sz val="11"/>
      <color theme="1"/>
      <name val="新細明體"/>
      <family val="1"/>
      <scheme val="minor"/>
    </font>
    <font>
      <sz val="9"/>
      <name val="新細明體"/>
      <family val="1"/>
      <scheme val="minor"/>
    </font>
    <font>
      <sz val="9"/>
      <name val="新細明體"/>
      <family val="2"/>
      <charset val="136"/>
      <scheme val="minor"/>
    </font>
    <font>
      <b/>
      <sz val="16"/>
      <color theme="1"/>
      <name val="微软雅黑"/>
      <family val="2"/>
      <charset val="134"/>
    </font>
  </fonts>
  <fills count="12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8" tint="0.39994506668294322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450666829432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42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theme="0"/>
      </right>
      <top style="medium">
        <color auto="1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medium">
        <color auto="1"/>
      </top>
      <bottom style="thin">
        <color theme="0"/>
      </bottom>
      <diagonal/>
    </border>
    <border>
      <left style="thin">
        <color theme="0"/>
      </left>
      <right style="medium">
        <color auto="1"/>
      </right>
      <top style="medium">
        <color auto="1"/>
      </top>
      <bottom style="thin">
        <color theme="0"/>
      </bottom>
      <diagonal/>
    </border>
    <border>
      <left style="medium">
        <color auto="1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theme="0"/>
      </left>
      <right style="medium">
        <color auto="1"/>
      </right>
      <top style="thin">
        <color theme="0"/>
      </top>
      <bottom style="thin">
        <color theme="0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 style="thin">
        <color theme="0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medium">
        <color indexed="64"/>
      </right>
      <top style="thin">
        <color theme="0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43" fontId="10" fillId="0" borderId="0" applyFont="0" applyFill="0" applyBorder="0" applyAlignment="0" applyProtection="0">
      <alignment vertical="center"/>
    </xf>
  </cellStyleXfs>
  <cellXfs count="88">
    <xf numFmtId="0" fontId="0" fillId="0" borderId="0" xfId="0">
      <alignment vertical="center"/>
    </xf>
    <xf numFmtId="176" fontId="0" fillId="0" borderId="0" xfId="0" applyNumberFormat="1">
      <alignment vertical="center"/>
    </xf>
    <xf numFmtId="176" fontId="2" fillId="4" borderId="4" xfId="0" applyNumberFormat="1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176" fontId="3" fillId="3" borderId="5" xfId="0" applyNumberFormat="1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176" fontId="4" fillId="0" borderId="7" xfId="0" applyNumberFormat="1" applyFont="1" applyBorder="1">
      <alignment vertical="center"/>
    </xf>
    <xf numFmtId="0" fontId="4" fillId="5" borderId="8" xfId="0" applyFont="1" applyFill="1" applyBorder="1" applyAlignment="1">
      <alignment vertical="center"/>
    </xf>
    <xf numFmtId="43" fontId="4" fillId="0" borderId="9" xfId="1" applyFont="1" applyBorder="1">
      <alignment vertical="center"/>
    </xf>
    <xf numFmtId="176" fontId="3" fillId="2" borderId="8" xfId="0" applyNumberFormat="1" applyFont="1" applyFill="1" applyBorder="1">
      <alignment vertical="center"/>
    </xf>
    <xf numFmtId="43" fontId="4" fillId="6" borderId="8" xfId="1" applyFont="1" applyFill="1" applyBorder="1" applyAlignment="1">
      <alignment horizontal="center" vertical="center"/>
    </xf>
    <xf numFmtId="43" fontId="5" fillId="0" borderId="9" xfId="1" applyFont="1" applyBorder="1">
      <alignment vertical="center"/>
    </xf>
    <xf numFmtId="43" fontId="6" fillId="0" borderId="9" xfId="1" applyFont="1" applyBorder="1">
      <alignment vertical="center"/>
    </xf>
    <xf numFmtId="176" fontId="6" fillId="0" borderId="7" xfId="0" applyNumberFormat="1" applyFont="1" applyBorder="1">
      <alignment vertical="center"/>
    </xf>
    <xf numFmtId="176" fontId="4" fillId="0" borderId="10" xfId="0" applyNumberFormat="1" applyFont="1" applyBorder="1">
      <alignment vertical="center"/>
    </xf>
    <xf numFmtId="43" fontId="4" fillId="0" borderId="11" xfId="1" applyFont="1" applyBorder="1">
      <alignment vertical="center"/>
    </xf>
    <xf numFmtId="176" fontId="3" fillId="2" borderId="12" xfId="0" applyNumberFormat="1" applyFont="1" applyFill="1" applyBorder="1" applyAlignment="1">
      <alignment horizontal="center" vertical="center"/>
    </xf>
    <xf numFmtId="0" fontId="4" fillId="3" borderId="12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8" borderId="17" xfId="0" applyFont="1" applyFill="1" applyBorder="1">
      <alignment vertical="center"/>
    </xf>
    <xf numFmtId="0" fontId="8" fillId="0" borderId="7" xfId="0" applyFont="1" applyBorder="1" applyAlignment="1">
      <alignment horizontal="left" vertical="center"/>
    </xf>
    <xf numFmtId="0" fontId="8" fillId="0" borderId="0" xfId="0" applyFont="1" applyBorder="1" applyAlignment="1">
      <alignment horizontal="left" vertical="center"/>
    </xf>
    <xf numFmtId="0" fontId="8" fillId="0" borderId="18" xfId="0" applyFont="1" applyBorder="1" applyAlignment="1">
      <alignment horizontal="left" vertical="center"/>
    </xf>
    <xf numFmtId="0" fontId="4" fillId="0" borderId="19" xfId="0" applyFont="1" applyBorder="1">
      <alignment vertical="center"/>
    </xf>
    <xf numFmtId="0" fontId="9" fillId="0" borderId="7" xfId="0" applyFont="1" applyBorder="1" applyAlignment="1">
      <alignment horizontal="left" vertical="center" indent="2"/>
    </xf>
    <xf numFmtId="43" fontId="6" fillId="0" borderId="0" xfId="1" applyFont="1" applyAlignment="1">
      <alignment horizontal="center" vertical="center"/>
    </xf>
    <xf numFmtId="43" fontId="6" fillId="0" borderId="18" xfId="1" applyFont="1" applyBorder="1" applyAlignment="1">
      <alignment horizontal="center" vertical="center"/>
    </xf>
    <xf numFmtId="0" fontId="4" fillId="0" borderId="0" xfId="0" applyFont="1">
      <alignment vertical="center"/>
    </xf>
    <xf numFmtId="43" fontId="8" fillId="0" borderId="0" xfId="1" applyFont="1" applyBorder="1" applyAlignment="1">
      <alignment horizontal="center" vertical="center"/>
    </xf>
    <xf numFmtId="43" fontId="8" fillId="0" borderId="18" xfId="1" applyFont="1" applyBorder="1" applyAlignment="1">
      <alignment horizontal="center" vertical="center"/>
    </xf>
    <xf numFmtId="0" fontId="4" fillId="0" borderId="7" xfId="0" applyFont="1" applyBorder="1" applyAlignment="1">
      <alignment horizontal="left" vertical="center" indent="2"/>
    </xf>
    <xf numFmtId="43" fontId="4" fillId="0" borderId="0" xfId="1" applyFont="1" applyBorder="1" applyAlignment="1">
      <alignment horizontal="right" vertical="center"/>
    </xf>
    <xf numFmtId="43" fontId="4" fillId="0" borderId="18" xfId="1" applyFont="1" applyBorder="1" applyAlignment="1">
      <alignment horizontal="right" vertical="center"/>
    </xf>
    <xf numFmtId="0" fontId="4" fillId="0" borderId="19" xfId="0" applyFont="1" applyBorder="1" applyAlignment="1">
      <alignment horizontal="left" vertical="center"/>
    </xf>
    <xf numFmtId="0" fontId="4" fillId="0" borderId="20" xfId="0" applyFont="1" applyBorder="1">
      <alignment vertical="center"/>
    </xf>
    <xf numFmtId="0" fontId="8" fillId="0" borderId="7" xfId="0" applyFont="1" applyBorder="1">
      <alignment vertical="center"/>
    </xf>
    <xf numFmtId="0" fontId="4" fillId="8" borderId="21" xfId="0" applyFont="1" applyFill="1" applyBorder="1">
      <alignment vertical="center"/>
    </xf>
    <xf numFmtId="0" fontId="9" fillId="0" borderId="10" xfId="0" applyFont="1" applyBorder="1" applyAlignment="1">
      <alignment horizontal="center" vertical="center"/>
    </xf>
    <xf numFmtId="43" fontId="9" fillId="0" borderId="1" xfId="1" applyFont="1" applyBorder="1" applyAlignment="1">
      <alignment horizontal="center" vertical="center"/>
    </xf>
    <xf numFmtId="43" fontId="9" fillId="0" borderId="22" xfId="1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4" fillId="0" borderId="18" xfId="0" applyFont="1" applyBorder="1">
      <alignment vertical="center"/>
    </xf>
    <xf numFmtId="0" fontId="4" fillId="0" borderId="24" xfId="0" applyFont="1" applyBorder="1">
      <alignment vertical="center"/>
    </xf>
    <xf numFmtId="176" fontId="1" fillId="2" borderId="1" xfId="0" applyNumberFormat="1" applyFont="1" applyFill="1" applyBorder="1" applyAlignment="1">
      <alignment horizontal="center" vertical="center"/>
    </xf>
    <xf numFmtId="176" fontId="1" fillId="3" borderId="2" xfId="0" applyNumberFormat="1" applyFont="1" applyFill="1" applyBorder="1" applyAlignment="1">
      <alignment horizontal="center" vertical="center"/>
    </xf>
    <xf numFmtId="176" fontId="1" fillId="3" borderId="3" xfId="0" applyNumberFormat="1" applyFont="1" applyFill="1" applyBorder="1" applyAlignment="1">
      <alignment horizontal="center" vertical="center"/>
    </xf>
    <xf numFmtId="176" fontId="1" fillId="3" borderId="13" xfId="0" applyNumberFormat="1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7" fillId="7" borderId="14" xfId="0" applyFont="1" applyFill="1" applyBorder="1" applyAlignment="1">
      <alignment horizontal="center" vertical="center"/>
    </xf>
    <xf numFmtId="0" fontId="7" fillId="7" borderId="15" xfId="0" applyFont="1" applyFill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176" fontId="3" fillId="2" borderId="25" xfId="0" applyNumberFormat="1" applyFont="1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43" fontId="13" fillId="9" borderId="29" xfId="1" applyFont="1" applyFill="1" applyBorder="1" applyAlignment="1">
      <alignment horizontal="center" vertical="center"/>
    </xf>
    <xf numFmtId="43" fontId="13" fillId="9" borderId="30" xfId="1" applyFont="1" applyFill="1" applyBorder="1" applyAlignment="1">
      <alignment horizontal="center" vertical="center"/>
    </xf>
    <xf numFmtId="43" fontId="13" fillId="9" borderId="31" xfId="1" applyFont="1" applyFill="1" applyBorder="1" applyAlignment="1">
      <alignment horizontal="center" vertical="center"/>
    </xf>
    <xf numFmtId="176" fontId="3" fillId="10" borderId="32" xfId="0" applyNumberFormat="1" applyFont="1" applyFill="1" applyBorder="1" applyAlignment="1">
      <alignment horizontal="center" vertical="center"/>
    </xf>
    <xf numFmtId="43" fontId="13" fillId="9" borderId="33" xfId="1" applyFont="1" applyFill="1" applyBorder="1" applyAlignment="1">
      <alignment horizontal="center" vertical="center"/>
    </xf>
    <xf numFmtId="43" fontId="13" fillId="9" borderId="34" xfId="1" applyFont="1" applyFill="1" applyBorder="1" applyAlignment="1">
      <alignment horizontal="center" vertical="center"/>
    </xf>
    <xf numFmtId="43" fontId="13" fillId="9" borderId="35" xfId="1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176" fontId="3" fillId="2" borderId="36" xfId="0" applyNumberFormat="1" applyFont="1" applyFill="1" applyBorder="1" applyAlignment="1">
      <alignment horizontal="center" vertical="center"/>
    </xf>
    <xf numFmtId="176" fontId="3" fillId="10" borderId="33" xfId="0" applyNumberFormat="1" applyFont="1" applyFill="1" applyBorder="1" applyAlignment="1">
      <alignment horizontal="center" vertical="center"/>
    </xf>
    <xf numFmtId="176" fontId="3" fillId="2" borderId="17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176" fontId="3" fillId="2" borderId="8" xfId="0" applyNumberFormat="1" applyFont="1" applyFill="1" applyBorder="1" applyAlignment="1">
      <alignment horizontal="center" vertical="center"/>
    </xf>
    <xf numFmtId="176" fontId="3" fillId="2" borderId="17" xfId="0" applyNumberFormat="1" applyFont="1" applyFill="1" applyBorder="1">
      <alignment vertical="center"/>
    </xf>
    <xf numFmtId="43" fontId="4" fillId="9" borderId="4" xfId="1" applyFont="1" applyFill="1" applyBorder="1" applyAlignment="1">
      <alignment horizontal="center" vertical="center"/>
    </xf>
    <xf numFmtId="43" fontId="4" fillId="9" borderId="5" xfId="1" applyFont="1" applyFill="1" applyBorder="1" applyAlignment="1">
      <alignment horizontal="center" vertical="center"/>
    </xf>
    <xf numFmtId="43" fontId="4" fillId="9" borderId="6" xfId="1" applyFont="1" applyFill="1" applyBorder="1" applyAlignment="1">
      <alignment horizontal="center" vertical="center"/>
    </xf>
    <xf numFmtId="43" fontId="4" fillId="9" borderId="37" xfId="1" applyFont="1" applyFill="1" applyBorder="1" applyAlignment="1">
      <alignment horizontal="center" vertical="center"/>
    </xf>
    <xf numFmtId="43" fontId="4" fillId="9" borderId="38" xfId="1" applyFont="1" applyFill="1" applyBorder="1" applyAlignment="1">
      <alignment horizontal="center" vertical="center"/>
    </xf>
    <xf numFmtId="43" fontId="4" fillId="9" borderId="8" xfId="1" applyFont="1" applyFill="1" applyBorder="1" applyAlignment="1">
      <alignment horizontal="center" vertical="center"/>
    </xf>
    <xf numFmtId="43" fontId="4" fillId="9" borderId="21" xfId="1" applyFont="1" applyFill="1" applyBorder="1" applyAlignment="1">
      <alignment horizontal="center" vertical="center"/>
    </xf>
    <xf numFmtId="43" fontId="4" fillId="9" borderId="39" xfId="1" applyFont="1" applyFill="1" applyBorder="1" applyAlignment="1">
      <alignment horizontal="center" vertical="center"/>
    </xf>
    <xf numFmtId="43" fontId="4" fillId="9" borderId="12" xfId="1" applyFont="1" applyFill="1" applyBorder="1" applyAlignment="1">
      <alignment horizontal="center" vertical="center"/>
    </xf>
    <xf numFmtId="43" fontId="4" fillId="9" borderId="40" xfId="1" applyFont="1" applyFill="1" applyBorder="1" applyAlignment="1">
      <alignment horizontal="center" vertical="center"/>
    </xf>
    <xf numFmtId="176" fontId="3" fillId="2" borderId="41" xfId="0" applyNumberFormat="1" applyFont="1" applyFill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176" fontId="3" fillId="2" borderId="27" xfId="0" applyNumberFormat="1" applyFont="1" applyFill="1" applyBorder="1" applyAlignment="1">
      <alignment horizontal="center" vertical="center"/>
    </xf>
    <xf numFmtId="0" fontId="4" fillId="0" borderId="26" xfId="0" applyFont="1" applyBorder="1" applyAlignment="1">
      <alignment horizontal="center" vertical="center"/>
    </xf>
    <xf numFmtId="0" fontId="10" fillId="0" borderId="0" xfId="0" applyFont="1">
      <alignment vertical="center"/>
    </xf>
    <xf numFmtId="176" fontId="3" fillId="10" borderId="36" xfId="0" applyNumberFormat="1" applyFont="1" applyFill="1" applyBorder="1" applyAlignment="1">
      <alignment horizontal="center" vertical="center"/>
    </xf>
    <xf numFmtId="176" fontId="3" fillId="11" borderId="36" xfId="0" applyNumberFormat="1" applyFont="1" applyFill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4"/>
  <sheetViews>
    <sheetView topLeftCell="B1" workbookViewId="0">
      <pane ySplit="2" topLeftCell="A3" activePane="bottomLeft" state="frozen"/>
      <selection pane="bottomLeft" sqref="A1:D1"/>
    </sheetView>
  </sheetViews>
  <sheetFormatPr defaultColWidth="9" defaultRowHeight="15.75"/>
  <cols>
    <col min="1" max="1" width="14.42578125" style="1" customWidth="1"/>
    <col min="2" max="3" width="10.5703125" customWidth="1"/>
    <col min="4" max="4" width="12.85546875" customWidth="1"/>
    <col min="5" max="5" width="16.42578125" style="1" customWidth="1"/>
    <col min="7" max="7" width="11.28515625" customWidth="1"/>
    <col min="8" max="8" width="10.28515625" customWidth="1"/>
    <col min="9" max="9" width="12" customWidth="1"/>
    <col min="10" max="10" width="11.5703125" customWidth="1"/>
    <col min="12" max="12" width="13.5703125" customWidth="1"/>
    <col min="13" max="14" width="14.5703125" customWidth="1"/>
  </cols>
  <sheetData>
    <row r="1" spans="1:26" ht="21">
      <c r="A1" s="44" t="s">
        <v>0</v>
      </c>
      <c r="B1" s="44"/>
      <c r="C1" s="44"/>
      <c r="D1" s="44"/>
      <c r="E1" s="45" t="s">
        <v>1</v>
      </c>
      <c r="F1" s="46"/>
      <c r="G1" s="46"/>
      <c r="H1" s="46"/>
      <c r="I1" s="46"/>
      <c r="J1" s="46"/>
      <c r="K1" s="47"/>
      <c r="L1" s="48" t="s">
        <v>2</v>
      </c>
      <c r="M1" s="48"/>
      <c r="N1" s="48"/>
    </row>
    <row r="2" spans="1:26" ht="18">
      <c r="A2" s="2" t="s">
        <v>3</v>
      </c>
      <c r="B2" s="3" t="s">
        <v>4</v>
      </c>
      <c r="C2" s="3" t="s">
        <v>5</v>
      </c>
      <c r="D2" s="4" t="s">
        <v>6</v>
      </c>
      <c r="E2" s="5" t="s">
        <v>3</v>
      </c>
      <c r="F2" s="6" t="s">
        <v>7</v>
      </c>
      <c r="G2" s="6" t="s">
        <v>8</v>
      </c>
      <c r="H2" s="6" t="s">
        <v>9</v>
      </c>
      <c r="I2" s="6" t="s">
        <v>10</v>
      </c>
      <c r="J2" s="6" t="s">
        <v>11</v>
      </c>
      <c r="K2" s="6" t="s">
        <v>12</v>
      </c>
      <c r="L2" s="49" t="s">
        <v>13</v>
      </c>
      <c r="M2" s="50"/>
      <c r="N2" s="50"/>
      <c r="O2" s="19"/>
      <c r="P2" s="51" t="s">
        <v>14</v>
      </c>
      <c r="Q2" s="52"/>
      <c r="R2" s="28"/>
      <c r="S2" s="28"/>
      <c r="T2" s="28"/>
      <c r="U2" s="28"/>
      <c r="V2" s="28"/>
      <c r="W2" s="28"/>
      <c r="X2" s="28"/>
      <c r="Y2" s="28"/>
    </row>
    <row r="3" spans="1:26" ht="18">
      <c r="A3" s="7">
        <v>43770</v>
      </c>
      <c r="B3" s="8" t="s">
        <v>15</v>
      </c>
      <c r="C3" s="8" t="s">
        <v>10</v>
      </c>
      <c r="D3" s="9">
        <v>6000</v>
      </c>
      <c r="E3" s="10">
        <v>43770</v>
      </c>
      <c r="F3" s="11"/>
      <c r="G3" s="11"/>
      <c r="H3" s="11"/>
      <c r="I3" s="11">
        <v>120</v>
      </c>
      <c r="J3" s="11"/>
      <c r="K3" s="20"/>
      <c r="L3" s="21" t="s">
        <v>16</v>
      </c>
      <c r="M3" s="22" t="s">
        <v>17</v>
      </c>
      <c r="N3" s="23" t="s">
        <v>18</v>
      </c>
      <c r="P3" s="24" t="s">
        <v>7</v>
      </c>
      <c r="Q3" s="42">
        <v>1000</v>
      </c>
    </row>
    <row r="4" spans="1:26" ht="18">
      <c r="A4" s="7">
        <v>43770</v>
      </c>
      <c r="B4" s="8" t="s">
        <v>15</v>
      </c>
      <c r="C4" s="8" t="s">
        <v>11</v>
      </c>
      <c r="D4" s="12">
        <v>1000</v>
      </c>
      <c r="E4" s="10">
        <v>43771</v>
      </c>
      <c r="F4" s="11"/>
      <c r="G4" s="11"/>
      <c r="H4" s="11"/>
      <c r="I4" s="11">
        <v>540</v>
      </c>
      <c r="J4" s="11"/>
      <c r="K4" s="20"/>
      <c r="L4" s="25" t="s">
        <v>15</v>
      </c>
      <c r="M4" s="26">
        <f>SUMIFS(D3:D34,B3:B34,L4)</f>
        <v>10000</v>
      </c>
      <c r="N4" s="27">
        <f t="shared" ref="N4:N12" si="0">M4</f>
        <v>10000</v>
      </c>
      <c r="O4" s="28"/>
      <c r="P4" s="24" t="s">
        <v>8</v>
      </c>
      <c r="Q4" s="42">
        <v>1000</v>
      </c>
      <c r="Z4" s="28"/>
    </row>
    <row r="5" spans="1:26" ht="18">
      <c r="A5" s="7">
        <v>43770</v>
      </c>
      <c r="B5" s="8" t="s">
        <v>15</v>
      </c>
      <c r="C5" s="8" t="s">
        <v>19</v>
      </c>
      <c r="D5" s="12">
        <v>3000</v>
      </c>
      <c r="E5" s="10">
        <v>43772</v>
      </c>
      <c r="F5" s="11"/>
      <c r="G5" s="11"/>
      <c r="H5" s="11"/>
      <c r="I5" s="11">
        <v>180</v>
      </c>
      <c r="J5" s="11"/>
      <c r="K5" s="20"/>
      <c r="L5" s="21" t="s">
        <v>20</v>
      </c>
      <c r="M5" s="29">
        <f>SUM(M6:M12)</f>
        <v>15910</v>
      </c>
      <c r="N5" s="30">
        <f t="shared" si="0"/>
        <v>15910</v>
      </c>
      <c r="O5" s="28"/>
      <c r="P5" s="24" t="s">
        <v>9</v>
      </c>
      <c r="Q5" s="42">
        <v>1000</v>
      </c>
    </row>
    <row r="6" spans="1:26" ht="18">
      <c r="A6" s="7"/>
      <c r="B6" s="8"/>
      <c r="C6" s="8"/>
      <c r="D6" s="12"/>
      <c r="E6" s="10">
        <v>43773</v>
      </c>
      <c r="F6" s="11"/>
      <c r="G6" s="11"/>
      <c r="H6" s="11"/>
      <c r="I6" s="11"/>
      <c r="J6" s="11">
        <v>250</v>
      </c>
      <c r="K6" s="20" t="s">
        <v>21</v>
      </c>
      <c r="L6" s="31" t="s">
        <v>7</v>
      </c>
      <c r="M6" s="32">
        <f>Q3-F34-SUMIFS(D3:D34,B3:B34,L6)+SUMIFS(D3:D34,C3:C34,L6)</f>
        <v>1000</v>
      </c>
      <c r="N6" s="33">
        <f t="shared" si="0"/>
        <v>1000</v>
      </c>
      <c r="O6" s="28"/>
      <c r="P6" s="24" t="s">
        <v>10</v>
      </c>
      <c r="Q6" s="42">
        <v>1000</v>
      </c>
    </row>
    <row r="7" spans="1:26" ht="18">
      <c r="A7" s="7"/>
      <c r="B7" s="8"/>
      <c r="C7" s="8"/>
      <c r="D7" s="12"/>
      <c r="E7" s="10">
        <v>43774</v>
      </c>
      <c r="F7" s="11"/>
      <c r="G7" s="11"/>
      <c r="H7" s="11"/>
      <c r="I7" s="11"/>
      <c r="J7" s="11"/>
      <c r="K7" s="20"/>
      <c r="L7" s="31" t="s">
        <v>8</v>
      </c>
      <c r="M7" s="32">
        <f>Q4-G34-SUMIFS(D3:D34,B3:B34,L7)+SUMIFS(D3:D34,C3:C34,L7)</f>
        <v>1000</v>
      </c>
      <c r="N7" s="33">
        <f t="shared" si="0"/>
        <v>1000</v>
      </c>
      <c r="O7" s="28"/>
      <c r="P7" s="24" t="s">
        <v>19</v>
      </c>
      <c r="Q7" s="42">
        <v>1000</v>
      </c>
      <c r="R7" s="28"/>
      <c r="S7" s="28"/>
      <c r="T7" s="28"/>
      <c r="U7" s="28"/>
      <c r="V7" s="28"/>
      <c r="W7" s="28"/>
      <c r="X7" s="28"/>
      <c r="Y7" s="28"/>
    </row>
    <row r="8" spans="1:26" ht="18">
      <c r="A8" s="7"/>
      <c r="B8" s="8"/>
      <c r="C8" s="8"/>
      <c r="D8" s="12"/>
      <c r="E8" s="10">
        <v>43775</v>
      </c>
      <c r="F8" s="11"/>
      <c r="G8" s="11"/>
      <c r="H8" s="11"/>
      <c r="I8" s="11"/>
      <c r="J8" s="11"/>
      <c r="K8" s="20"/>
      <c r="L8" s="31" t="s">
        <v>9</v>
      </c>
      <c r="M8" s="32">
        <f>Q5-H34-SUMIFS(D3:D34,B3:B34,L8)+SUMIFS(D3:D34,C3:C34,L8)</f>
        <v>1000</v>
      </c>
      <c r="N8" s="33">
        <f t="shared" si="0"/>
        <v>1000</v>
      </c>
      <c r="O8" s="28"/>
      <c r="P8" s="24" t="s">
        <v>11</v>
      </c>
      <c r="Q8" s="42">
        <v>1000</v>
      </c>
      <c r="R8" s="28"/>
      <c r="S8" s="28"/>
      <c r="T8" s="28"/>
      <c r="U8" s="28"/>
      <c r="V8" s="28"/>
      <c r="W8" s="28"/>
      <c r="X8" s="28"/>
      <c r="Y8" s="28"/>
    </row>
    <row r="9" spans="1:26" ht="18">
      <c r="A9" s="7"/>
      <c r="B9" s="8"/>
      <c r="C9" s="8"/>
      <c r="D9" s="12"/>
      <c r="E9" s="10">
        <v>43776</v>
      </c>
      <c r="F9" s="11"/>
      <c r="G9" s="11"/>
      <c r="H9" s="11"/>
      <c r="I9" s="11"/>
      <c r="J9" s="11"/>
      <c r="K9" s="20"/>
      <c r="L9" s="31" t="s">
        <v>10</v>
      </c>
      <c r="M9" s="32">
        <f>Q6-I34-SUMIFS(D3:D34,B3:B34,L9)+SUMIFS(D3:D34,C3:C34,L9)</f>
        <v>6160</v>
      </c>
      <c r="N9" s="33">
        <f t="shared" si="0"/>
        <v>6160</v>
      </c>
      <c r="O9" s="28"/>
      <c r="P9" s="24" t="s">
        <v>22</v>
      </c>
      <c r="Q9" s="42">
        <v>1000</v>
      </c>
      <c r="R9" s="28"/>
      <c r="S9" s="28"/>
      <c r="T9" s="28"/>
      <c r="U9" s="28"/>
      <c r="V9" s="28"/>
      <c r="W9" s="28"/>
      <c r="X9" s="28"/>
      <c r="Y9" s="28"/>
    </row>
    <row r="10" spans="1:26" ht="18">
      <c r="A10" s="7"/>
      <c r="B10" s="8"/>
      <c r="C10" s="8"/>
      <c r="D10" s="12"/>
      <c r="E10" s="10">
        <v>43777</v>
      </c>
      <c r="F10" s="11"/>
      <c r="G10" s="11"/>
      <c r="H10" s="11"/>
      <c r="I10" s="11"/>
      <c r="J10" s="11"/>
      <c r="K10" s="20"/>
      <c r="L10" s="31" t="s">
        <v>19</v>
      </c>
      <c r="M10" s="32">
        <f>Q7-SUMIFS(D3:D34,B3:B34,L10)+SUMIFS(D3:D34,C3:C34,L10)</f>
        <v>4000</v>
      </c>
      <c r="N10" s="33">
        <f t="shared" si="0"/>
        <v>4000</v>
      </c>
      <c r="O10" s="28"/>
      <c r="P10" s="34" t="s">
        <v>23</v>
      </c>
      <c r="Q10" s="42">
        <v>1000</v>
      </c>
      <c r="R10" s="28"/>
      <c r="S10" s="28"/>
      <c r="T10" s="28"/>
      <c r="U10" s="28"/>
      <c r="V10" s="28"/>
      <c r="W10" s="28"/>
      <c r="X10" s="28"/>
      <c r="Y10" s="28"/>
    </row>
    <row r="11" spans="1:26" ht="18">
      <c r="A11" s="7"/>
      <c r="B11" s="8"/>
      <c r="C11" s="8"/>
      <c r="D11" s="13"/>
      <c r="E11" s="10">
        <v>43778</v>
      </c>
      <c r="F11" s="11"/>
      <c r="G11" s="11"/>
      <c r="H11" s="11"/>
      <c r="I11" s="11"/>
      <c r="J11" s="11"/>
      <c r="K11" s="20"/>
      <c r="L11" s="31" t="s">
        <v>11</v>
      </c>
      <c r="M11" s="32">
        <f>Q8-J34-SUMIFS(D3:D34,B3:B34,L11)+SUMIFS(D3:D34,C3:C34,L11)</f>
        <v>1750</v>
      </c>
      <c r="N11" s="33">
        <f t="shared" si="0"/>
        <v>1750</v>
      </c>
      <c r="O11" s="28"/>
      <c r="P11" s="34" t="s">
        <v>24</v>
      </c>
      <c r="Q11" s="42">
        <v>1000</v>
      </c>
      <c r="R11" s="28"/>
      <c r="S11" s="28"/>
      <c r="T11" s="28"/>
      <c r="U11" s="28"/>
      <c r="V11" s="28"/>
      <c r="W11" s="28"/>
      <c r="X11" s="28"/>
      <c r="Y11" s="28"/>
    </row>
    <row r="12" spans="1:26" ht="18">
      <c r="A12" s="7"/>
      <c r="B12" s="8"/>
      <c r="C12" s="8"/>
      <c r="D12" s="9"/>
      <c r="E12" s="10">
        <v>43779</v>
      </c>
      <c r="F12" s="11"/>
      <c r="G12" s="11"/>
      <c r="H12" s="11"/>
      <c r="I12" s="11"/>
      <c r="J12" s="11"/>
      <c r="K12" s="20"/>
      <c r="L12" s="31" t="s">
        <v>22</v>
      </c>
      <c r="M12" s="32">
        <f>Q9-SUMIFS(D3:D34,B3:B34,L12)+SUMIFS(D3:D34,C3:C34,L12)</f>
        <v>1000</v>
      </c>
      <c r="N12" s="33">
        <f t="shared" si="0"/>
        <v>1000</v>
      </c>
      <c r="O12" s="28"/>
      <c r="P12" s="35" t="s">
        <v>25</v>
      </c>
      <c r="Q12" s="43">
        <v>1000</v>
      </c>
      <c r="R12" s="28"/>
      <c r="S12" s="28"/>
      <c r="T12" s="28"/>
      <c r="U12" s="28"/>
      <c r="V12" s="28"/>
      <c r="W12" s="28"/>
      <c r="X12" s="28"/>
      <c r="Y12" s="28"/>
    </row>
    <row r="13" spans="1:26" ht="18">
      <c r="A13" s="7"/>
      <c r="B13" s="8"/>
      <c r="C13" s="8"/>
      <c r="D13" s="9"/>
      <c r="E13" s="10">
        <v>43780</v>
      </c>
      <c r="F13" s="11"/>
      <c r="G13" s="11"/>
      <c r="H13" s="11"/>
      <c r="I13" s="11"/>
      <c r="J13" s="11"/>
      <c r="K13" s="20"/>
      <c r="L13" s="21" t="s">
        <v>23</v>
      </c>
      <c r="M13" s="29">
        <f>Q10-SUMIFS(D3:D34,B3:B34,L13)+SUMIFS(D3:D34,C3:C34,L13)</f>
        <v>1000</v>
      </c>
      <c r="N13" s="30">
        <v>1100</v>
      </c>
      <c r="O13" s="28"/>
      <c r="R13" s="28"/>
      <c r="S13" s="28"/>
      <c r="T13" s="28"/>
      <c r="U13" s="28"/>
      <c r="V13" s="28"/>
      <c r="W13" s="28"/>
      <c r="X13" s="28"/>
      <c r="Y13" s="28"/>
    </row>
    <row r="14" spans="1:26" ht="18">
      <c r="A14" s="7"/>
      <c r="B14" s="8"/>
      <c r="C14" s="8"/>
      <c r="D14" s="9"/>
      <c r="E14" s="10">
        <v>43781</v>
      </c>
      <c r="F14" s="11"/>
      <c r="G14" s="11"/>
      <c r="H14" s="11"/>
      <c r="I14" s="11"/>
      <c r="J14" s="11"/>
      <c r="K14" s="20"/>
      <c r="L14" s="36" t="s">
        <v>24</v>
      </c>
      <c r="M14" s="29">
        <f>Q11-SUMIFS(D3:D34,B3:B34,L15)+SUMIFS(D3:D34,C3:C34,L15)</f>
        <v>1000</v>
      </c>
      <c r="N14" s="30">
        <v>1300</v>
      </c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</row>
    <row r="15" spans="1:26" ht="18">
      <c r="A15" s="7"/>
      <c r="B15" s="8"/>
      <c r="C15" s="8"/>
      <c r="D15" s="9"/>
      <c r="E15" s="10">
        <v>43782</v>
      </c>
      <c r="F15" s="11"/>
      <c r="G15" s="11"/>
      <c r="H15" s="11"/>
      <c r="I15" s="11"/>
      <c r="J15" s="11"/>
      <c r="K15" s="37"/>
      <c r="L15" s="21" t="s">
        <v>25</v>
      </c>
      <c r="M15" s="29">
        <f>Q12-SUMIFS(D3:D34,B3:B34,L15)+SUMIFS(D3:D34,C3:C34,L15)</f>
        <v>1000</v>
      </c>
      <c r="N15" s="30">
        <v>2000</v>
      </c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</row>
    <row r="16" spans="1:26" ht="18">
      <c r="A16" s="7"/>
      <c r="B16" s="8"/>
      <c r="C16" s="8"/>
      <c r="D16" s="9"/>
      <c r="E16" s="10">
        <v>43783</v>
      </c>
      <c r="F16" s="11"/>
      <c r="G16" s="11"/>
      <c r="H16" s="11"/>
      <c r="I16" s="11"/>
      <c r="J16" s="11"/>
      <c r="K16" s="37"/>
      <c r="L16" s="38" t="s">
        <v>26</v>
      </c>
      <c r="M16" s="39">
        <f>M5+M13+M14+M15</f>
        <v>18910</v>
      </c>
      <c r="N16" s="40">
        <f>N5+N13+N14+N15</f>
        <v>20310</v>
      </c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</row>
    <row r="17" spans="1:25" ht="18">
      <c r="A17" s="7"/>
      <c r="B17" s="8"/>
      <c r="C17" s="8"/>
      <c r="D17" s="9"/>
      <c r="E17" s="10">
        <v>43784</v>
      </c>
      <c r="F17" s="11"/>
      <c r="G17" s="11"/>
      <c r="H17" s="11"/>
      <c r="I17" s="11"/>
      <c r="J17" s="11"/>
      <c r="K17" s="37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</row>
    <row r="18" spans="1:25" ht="18">
      <c r="A18" s="7"/>
      <c r="B18" s="8"/>
      <c r="C18" s="8"/>
      <c r="D18" s="9"/>
      <c r="E18" s="10">
        <v>43785</v>
      </c>
      <c r="F18" s="11"/>
      <c r="G18" s="11"/>
      <c r="H18" s="11"/>
      <c r="I18" s="11"/>
      <c r="J18" s="11"/>
      <c r="K18" s="37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</row>
    <row r="19" spans="1:25" ht="18">
      <c r="A19" s="7"/>
      <c r="B19" s="8"/>
      <c r="C19" s="8"/>
      <c r="D19" s="9"/>
      <c r="E19" s="10">
        <v>43786</v>
      </c>
      <c r="F19" s="11"/>
      <c r="G19" s="11"/>
      <c r="H19" s="11"/>
      <c r="I19" s="11"/>
      <c r="J19" s="11"/>
      <c r="K19" s="37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</row>
    <row r="20" spans="1:25" ht="18">
      <c r="A20" s="7"/>
      <c r="B20" s="8"/>
      <c r="C20" s="8"/>
      <c r="D20" s="9"/>
      <c r="E20" s="10">
        <v>43787</v>
      </c>
      <c r="F20" s="11"/>
      <c r="G20" s="11"/>
      <c r="H20" s="11"/>
      <c r="I20" s="11"/>
      <c r="J20" s="11"/>
      <c r="K20" s="37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</row>
    <row r="21" spans="1:25" ht="18">
      <c r="A21" s="7"/>
      <c r="B21" s="8"/>
      <c r="C21" s="8"/>
      <c r="D21" s="9"/>
      <c r="E21" s="10">
        <v>43788</v>
      </c>
      <c r="F21" s="11"/>
      <c r="G21" s="11"/>
      <c r="H21" s="11"/>
      <c r="I21" s="11"/>
      <c r="J21" s="11"/>
      <c r="K21" s="37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</row>
    <row r="22" spans="1:25" ht="18">
      <c r="A22" s="7"/>
      <c r="B22" s="8"/>
      <c r="C22" s="8"/>
      <c r="D22" s="9"/>
      <c r="E22" s="10">
        <v>43789</v>
      </c>
      <c r="F22" s="11"/>
      <c r="G22" s="11"/>
      <c r="H22" s="11"/>
      <c r="I22" s="11"/>
      <c r="J22" s="11"/>
      <c r="K22" s="37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</row>
    <row r="23" spans="1:25" ht="18">
      <c r="A23" s="14"/>
      <c r="B23" s="8"/>
      <c r="C23" s="8"/>
      <c r="D23" s="13"/>
      <c r="E23" s="10">
        <v>43790</v>
      </c>
      <c r="F23" s="11"/>
      <c r="G23" s="11"/>
      <c r="H23" s="11"/>
      <c r="I23" s="11"/>
      <c r="J23" s="11"/>
      <c r="K23" s="37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</row>
    <row r="24" spans="1:25" ht="18">
      <c r="A24" s="14"/>
      <c r="B24" s="8"/>
      <c r="C24" s="8"/>
      <c r="D24" s="13"/>
      <c r="E24" s="10">
        <v>43791</v>
      </c>
      <c r="F24" s="11"/>
      <c r="G24" s="11"/>
      <c r="H24" s="11"/>
      <c r="I24" s="11"/>
      <c r="J24" s="11"/>
      <c r="K24" s="37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</row>
    <row r="25" spans="1:25" ht="18">
      <c r="A25" s="7"/>
      <c r="B25" s="8"/>
      <c r="C25" s="8"/>
      <c r="D25" s="9"/>
      <c r="E25" s="10">
        <v>43792</v>
      </c>
      <c r="F25" s="11"/>
      <c r="G25" s="11"/>
      <c r="H25" s="11"/>
      <c r="I25" s="11"/>
      <c r="J25" s="11"/>
      <c r="K25" s="37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</row>
    <row r="26" spans="1:25" ht="18">
      <c r="A26" s="7"/>
      <c r="B26" s="8"/>
      <c r="C26" s="8"/>
      <c r="D26" s="9"/>
      <c r="E26" s="10">
        <v>43793</v>
      </c>
      <c r="F26" s="11"/>
      <c r="G26" s="11"/>
      <c r="H26" s="11"/>
      <c r="I26" s="11"/>
      <c r="J26" s="11"/>
      <c r="K26" s="37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</row>
    <row r="27" spans="1:25" ht="18">
      <c r="A27" s="7"/>
      <c r="B27" s="8"/>
      <c r="C27" s="8"/>
      <c r="D27" s="9"/>
      <c r="E27" s="10">
        <v>43794</v>
      </c>
      <c r="F27" s="11"/>
      <c r="G27" s="11"/>
      <c r="H27" s="11"/>
      <c r="I27" s="11"/>
      <c r="J27" s="11"/>
      <c r="K27" s="37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</row>
    <row r="28" spans="1:25" ht="18">
      <c r="A28" s="7"/>
      <c r="B28" s="8"/>
      <c r="C28" s="8"/>
      <c r="D28" s="9"/>
      <c r="E28" s="10">
        <v>43795</v>
      </c>
      <c r="F28" s="11"/>
      <c r="G28" s="11"/>
      <c r="H28" s="11"/>
      <c r="I28" s="11"/>
      <c r="J28" s="11"/>
      <c r="K28" s="37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</row>
    <row r="29" spans="1:25" ht="18">
      <c r="A29" s="7"/>
      <c r="B29" s="8"/>
      <c r="C29" s="8"/>
      <c r="D29" s="9"/>
      <c r="E29" s="10">
        <v>43796</v>
      </c>
      <c r="F29" s="11"/>
      <c r="G29" s="11"/>
      <c r="H29" s="11"/>
      <c r="I29" s="11"/>
      <c r="J29" s="11"/>
      <c r="K29" s="37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</row>
    <row r="30" spans="1:25" ht="18">
      <c r="A30" s="7"/>
      <c r="B30" s="8"/>
      <c r="C30" s="8"/>
      <c r="D30" s="9"/>
      <c r="E30" s="10">
        <v>43797</v>
      </c>
      <c r="F30" s="11"/>
      <c r="G30" s="11"/>
      <c r="H30" s="11"/>
      <c r="I30" s="11"/>
      <c r="J30" s="11"/>
      <c r="K30" s="37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</row>
    <row r="31" spans="1:25" ht="18">
      <c r="A31" s="7"/>
      <c r="B31" s="8"/>
      <c r="C31" s="8"/>
      <c r="D31" s="9"/>
      <c r="E31" s="10">
        <v>43798</v>
      </c>
      <c r="F31" s="11"/>
      <c r="G31" s="11"/>
      <c r="H31" s="11"/>
      <c r="I31" s="11"/>
      <c r="J31" s="11"/>
      <c r="K31" s="37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</row>
    <row r="32" spans="1:25" ht="18">
      <c r="A32" s="7"/>
      <c r="B32" s="8"/>
      <c r="C32" s="8"/>
      <c r="D32" s="9"/>
      <c r="E32" s="10">
        <v>43799</v>
      </c>
      <c r="F32" s="11"/>
      <c r="G32" s="11"/>
      <c r="H32" s="11"/>
      <c r="I32" s="11"/>
      <c r="J32" s="11"/>
      <c r="K32" s="37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</row>
    <row r="33" spans="1:25" ht="18">
      <c r="A33" s="7"/>
      <c r="B33" s="8"/>
      <c r="C33" s="8"/>
      <c r="D33" s="9"/>
      <c r="E33" s="10"/>
      <c r="F33" s="11"/>
      <c r="G33" s="11"/>
      <c r="H33" s="11"/>
      <c r="I33" s="11"/>
      <c r="J33" s="11"/>
      <c r="K33" s="37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</row>
    <row r="34" spans="1:25" ht="18">
      <c r="A34" s="15"/>
      <c r="B34" s="8"/>
      <c r="C34" s="8"/>
      <c r="D34" s="16"/>
      <c r="E34" s="17" t="s">
        <v>26</v>
      </c>
      <c r="F34" s="18">
        <f t="shared" ref="F34:J34" si="1">SUM(F3:F33)</f>
        <v>0</v>
      </c>
      <c r="G34" s="18">
        <f t="shared" si="1"/>
        <v>0</v>
      </c>
      <c r="H34" s="18">
        <f t="shared" si="1"/>
        <v>0</v>
      </c>
      <c r="I34" s="18">
        <f t="shared" si="1"/>
        <v>840</v>
      </c>
      <c r="J34" s="18">
        <f t="shared" si="1"/>
        <v>250</v>
      </c>
      <c r="K34" s="41">
        <f>SUM(F34:J34)</f>
        <v>1090</v>
      </c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</row>
  </sheetData>
  <mergeCells count="5">
    <mergeCell ref="A1:D1"/>
    <mergeCell ref="E1:K1"/>
    <mergeCell ref="L1:N1"/>
    <mergeCell ref="L2:N2"/>
    <mergeCell ref="P2:Q2"/>
  </mergeCells>
  <phoneticPr fontId="11" type="noConversion"/>
  <dataValidations count="1">
    <dataValidation type="list" allowBlank="1" showInputMessage="1" showErrorMessage="1" promptTitle="From" sqref="B3:C34">
      <formula1>"薪水收入,利息收入,租金收入,股票, 基金,房地產,現金,LINE,街口,消費帳戶,投資帳戶,娛樂帳戶,存款帳戶"</formula1>
    </dataValidation>
  </dataValidation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4"/>
  <sheetViews>
    <sheetView workbookViewId="0">
      <selection activeCell="A3" sqref="A3"/>
    </sheetView>
  </sheetViews>
  <sheetFormatPr defaultColWidth="9" defaultRowHeight="15.75"/>
  <cols>
    <col min="1" max="1" width="14.42578125" style="1" customWidth="1"/>
    <col min="2" max="3" width="10.5703125" customWidth="1"/>
    <col min="4" max="4" width="12.85546875" customWidth="1"/>
    <col min="5" max="5" width="16.42578125" style="1" customWidth="1"/>
    <col min="7" max="7" width="11.28515625" customWidth="1"/>
    <col min="8" max="8" width="10.28515625" customWidth="1"/>
    <col min="9" max="9" width="12" customWidth="1"/>
    <col min="10" max="10" width="11.5703125" customWidth="1"/>
    <col min="12" max="12" width="13.5703125" customWidth="1"/>
    <col min="13" max="14" width="14.5703125" customWidth="1"/>
  </cols>
  <sheetData>
    <row r="1" spans="1:26" ht="21">
      <c r="A1" s="44" t="s">
        <v>0</v>
      </c>
      <c r="B1" s="44"/>
      <c r="C1" s="44"/>
      <c r="D1" s="44"/>
      <c r="E1" s="45" t="s">
        <v>1</v>
      </c>
      <c r="F1" s="46"/>
      <c r="G1" s="46"/>
      <c r="H1" s="46"/>
      <c r="I1" s="46"/>
      <c r="J1" s="46"/>
      <c r="K1" s="47"/>
      <c r="L1" s="48" t="s">
        <v>2</v>
      </c>
      <c r="M1" s="48"/>
      <c r="N1" s="48"/>
    </row>
    <row r="2" spans="1:26" ht="18">
      <c r="A2" s="2" t="s">
        <v>3</v>
      </c>
      <c r="B2" s="3" t="s">
        <v>4</v>
      </c>
      <c r="C2" s="3" t="s">
        <v>5</v>
      </c>
      <c r="D2" s="4" t="s">
        <v>6</v>
      </c>
      <c r="E2" s="5" t="s">
        <v>3</v>
      </c>
      <c r="F2" s="6" t="s">
        <v>7</v>
      </c>
      <c r="G2" s="6" t="s">
        <v>8</v>
      </c>
      <c r="H2" s="6" t="s">
        <v>9</v>
      </c>
      <c r="I2" s="6" t="s">
        <v>10</v>
      </c>
      <c r="J2" s="6" t="s">
        <v>11</v>
      </c>
      <c r="K2" s="6" t="s">
        <v>12</v>
      </c>
      <c r="L2" s="49" t="s">
        <v>13</v>
      </c>
      <c r="M2" s="50"/>
      <c r="N2" s="50"/>
      <c r="O2" s="19"/>
      <c r="P2" s="51" t="s">
        <v>14</v>
      </c>
      <c r="Q2" s="52"/>
      <c r="R2" s="28"/>
      <c r="S2" s="28"/>
      <c r="T2" s="28"/>
      <c r="U2" s="28"/>
      <c r="V2" s="28"/>
      <c r="W2" s="28"/>
      <c r="X2" s="28"/>
      <c r="Y2" s="28"/>
    </row>
    <row r="3" spans="1:26" ht="18">
      <c r="A3" s="7"/>
      <c r="B3" s="8"/>
      <c r="C3" s="8"/>
      <c r="D3" s="9"/>
      <c r="E3" s="10">
        <v>43770</v>
      </c>
      <c r="F3" s="11"/>
      <c r="G3" s="11"/>
      <c r="H3" s="11"/>
      <c r="I3" s="11"/>
      <c r="J3" s="11"/>
      <c r="K3" s="20"/>
      <c r="L3" s="21" t="s">
        <v>16</v>
      </c>
      <c r="M3" s="22" t="s">
        <v>17</v>
      </c>
      <c r="N3" s="23" t="s">
        <v>18</v>
      </c>
      <c r="P3" s="24" t="s">
        <v>7</v>
      </c>
      <c r="Q3" s="42"/>
    </row>
    <row r="4" spans="1:26" ht="18">
      <c r="A4" s="7"/>
      <c r="B4" s="8"/>
      <c r="C4" s="8"/>
      <c r="D4" s="12"/>
      <c r="E4" s="10">
        <v>43771</v>
      </c>
      <c r="F4" s="11"/>
      <c r="G4" s="11"/>
      <c r="H4" s="11"/>
      <c r="I4" s="11"/>
      <c r="J4" s="11"/>
      <c r="K4" s="20"/>
      <c r="L4" s="25" t="s">
        <v>27</v>
      </c>
      <c r="M4" s="26">
        <f>SUMIFS(D3:D34,B3:B34,L4)</f>
        <v>0</v>
      </c>
      <c r="N4" s="27">
        <f t="shared" ref="N4:N12" si="0">M4</f>
        <v>0</v>
      </c>
      <c r="O4" s="28"/>
      <c r="P4" s="24" t="s">
        <v>8</v>
      </c>
      <c r="Q4" s="42"/>
      <c r="Z4" s="28"/>
    </row>
    <row r="5" spans="1:26" ht="18">
      <c r="A5" s="7"/>
      <c r="B5" s="8"/>
      <c r="C5" s="8"/>
      <c r="D5" s="12"/>
      <c r="E5" s="10">
        <v>43772</v>
      </c>
      <c r="F5" s="11"/>
      <c r="G5" s="11"/>
      <c r="H5" s="11"/>
      <c r="I5" s="11"/>
      <c r="J5" s="11"/>
      <c r="K5" s="20"/>
      <c r="L5" s="21" t="s">
        <v>20</v>
      </c>
      <c r="M5" s="29">
        <f>SUM(M6:M12)</f>
        <v>0</v>
      </c>
      <c r="N5" s="30">
        <f t="shared" si="0"/>
        <v>0</v>
      </c>
      <c r="O5" s="28"/>
      <c r="P5" s="24" t="s">
        <v>9</v>
      </c>
      <c r="Q5" s="42"/>
    </row>
    <row r="6" spans="1:26" ht="18">
      <c r="A6" s="7"/>
      <c r="B6" s="8"/>
      <c r="C6" s="8"/>
      <c r="D6" s="12"/>
      <c r="E6" s="10">
        <v>43773</v>
      </c>
      <c r="F6" s="11"/>
      <c r="G6" s="11"/>
      <c r="H6" s="11"/>
      <c r="I6" s="11"/>
      <c r="J6" s="11"/>
      <c r="K6" s="20"/>
      <c r="L6" s="31" t="s">
        <v>7</v>
      </c>
      <c r="M6" s="32">
        <f>Q3-F34-SUMIFS(D3:D34,B3:B34,L6)+SUMIFS(D3:D34,C3:C34,L6)</f>
        <v>0</v>
      </c>
      <c r="N6" s="33">
        <f t="shared" si="0"/>
        <v>0</v>
      </c>
      <c r="O6" s="28"/>
      <c r="P6" s="24" t="s">
        <v>10</v>
      </c>
      <c r="Q6" s="42"/>
    </row>
    <row r="7" spans="1:26" ht="18">
      <c r="A7" s="7"/>
      <c r="B7" s="8"/>
      <c r="C7" s="8"/>
      <c r="D7" s="12"/>
      <c r="E7" s="10">
        <v>43774</v>
      </c>
      <c r="F7" s="11"/>
      <c r="G7" s="11"/>
      <c r="H7" s="11"/>
      <c r="I7" s="11"/>
      <c r="J7" s="11"/>
      <c r="K7" s="20"/>
      <c r="L7" s="31" t="s">
        <v>8</v>
      </c>
      <c r="M7" s="32">
        <f>Q4-G34-SUMIFS(D3:D34,B3:B34,L7)+SUMIFS(D3:D34,C3:C34,L7)</f>
        <v>0</v>
      </c>
      <c r="N7" s="33">
        <f t="shared" si="0"/>
        <v>0</v>
      </c>
      <c r="O7" s="28"/>
      <c r="P7" s="24" t="s">
        <v>19</v>
      </c>
      <c r="Q7" s="42"/>
      <c r="R7" s="28"/>
      <c r="S7" s="28"/>
      <c r="T7" s="28"/>
      <c r="U7" s="28"/>
      <c r="V7" s="28"/>
      <c r="W7" s="28"/>
      <c r="X7" s="28"/>
      <c r="Y7" s="28"/>
    </row>
    <row r="8" spans="1:26" ht="18">
      <c r="A8" s="7"/>
      <c r="B8" s="8"/>
      <c r="C8" s="8"/>
      <c r="D8" s="12"/>
      <c r="E8" s="10">
        <v>43775</v>
      </c>
      <c r="F8" s="11"/>
      <c r="G8" s="11"/>
      <c r="H8" s="11"/>
      <c r="I8" s="11"/>
      <c r="J8" s="11"/>
      <c r="K8" s="20"/>
      <c r="L8" s="31" t="s">
        <v>9</v>
      </c>
      <c r="M8" s="32">
        <f>Q5-H34-SUMIFS(D3:D34,B3:B34,L8)+SUMIFS(D3:D34,C3:C34,L8)</f>
        <v>0</v>
      </c>
      <c r="N8" s="33">
        <f t="shared" si="0"/>
        <v>0</v>
      </c>
      <c r="O8" s="28"/>
      <c r="P8" s="24" t="s">
        <v>11</v>
      </c>
      <c r="Q8" s="42"/>
      <c r="R8" s="28"/>
      <c r="S8" s="28"/>
      <c r="T8" s="28"/>
      <c r="U8" s="28"/>
      <c r="V8" s="28"/>
      <c r="W8" s="28"/>
      <c r="X8" s="28"/>
      <c r="Y8" s="28"/>
    </row>
    <row r="9" spans="1:26" ht="18">
      <c r="A9" s="7"/>
      <c r="B9" s="8"/>
      <c r="C9" s="8"/>
      <c r="D9" s="12"/>
      <c r="E9" s="10">
        <v>43776</v>
      </c>
      <c r="F9" s="11"/>
      <c r="G9" s="11"/>
      <c r="H9" s="11"/>
      <c r="I9" s="11"/>
      <c r="J9" s="11"/>
      <c r="K9" s="20"/>
      <c r="L9" s="31" t="s">
        <v>10</v>
      </c>
      <c r="M9" s="32">
        <f>Q6-I34-SUMIFS(D3:D34,B3:B34,L9)+SUMIFS(D3:D34,C3:C34,L9)</f>
        <v>0</v>
      </c>
      <c r="N9" s="33">
        <f t="shared" si="0"/>
        <v>0</v>
      </c>
      <c r="O9" s="28"/>
      <c r="P9" s="24" t="s">
        <v>22</v>
      </c>
      <c r="Q9" s="42"/>
      <c r="R9" s="28"/>
      <c r="S9" s="28"/>
      <c r="T9" s="28"/>
      <c r="U9" s="28"/>
      <c r="V9" s="28"/>
      <c r="W9" s="28"/>
      <c r="X9" s="28"/>
      <c r="Y9" s="28"/>
    </row>
    <row r="10" spans="1:26" ht="18">
      <c r="A10" s="7"/>
      <c r="B10" s="8"/>
      <c r="C10" s="8"/>
      <c r="D10" s="12"/>
      <c r="E10" s="10">
        <v>43777</v>
      </c>
      <c r="F10" s="11"/>
      <c r="G10" s="11"/>
      <c r="H10" s="11"/>
      <c r="I10" s="11"/>
      <c r="J10" s="11"/>
      <c r="K10" s="20"/>
      <c r="L10" s="31" t="s">
        <v>19</v>
      </c>
      <c r="M10" s="32">
        <f>Q7-SUMIFS(D3:D34,B3:B34,L10)+SUMIFS(D3:D34,C3:C34,L10)</f>
        <v>0</v>
      </c>
      <c r="N10" s="33">
        <f t="shared" si="0"/>
        <v>0</v>
      </c>
      <c r="O10" s="28"/>
      <c r="P10" s="34" t="s">
        <v>23</v>
      </c>
      <c r="Q10" s="42"/>
      <c r="R10" s="28"/>
      <c r="S10" s="28"/>
      <c r="T10" s="28"/>
      <c r="U10" s="28"/>
      <c r="V10" s="28"/>
      <c r="W10" s="28"/>
      <c r="X10" s="28"/>
      <c r="Y10" s="28"/>
    </row>
    <row r="11" spans="1:26" ht="18">
      <c r="A11" s="7"/>
      <c r="B11" s="8"/>
      <c r="C11" s="8"/>
      <c r="D11" s="13"/>
      <c r="E11" s="10">
        <v>43778</v>
      </c>
      <c r="F11" s="11"/>
      <c r="G11" s="11"/>
      <c r="H11" s="11"/>
      <c r="I11" s="11"/>
      <c r="J11" s="11"/>
      <c r="K11" s="20"/>
      <c r="L11" s="31" t="s">
        <v>11</v>
      </c>
      <c r="M11" s="32">
        <f>Q8-J34-SUMIFS(D3:D34,B3:B34,L11)+SUMIFS(D3:D34,C3:C34,L11)</f>
        <v>0</v>
      </c>
      <c r="N11" s="33">
        <f t="shared" si="0"/>
        <v>0</v>
      </c>
      <c r="O11" s="28"/>
      <c r="P11" s="34" t="s">
        <v>24</v>
      </c>
      <c r="Q11" s="42"/>
      <c r="R11" s="28"/>
      <c r="S11" s="28"/>
      <c r="T11" s="28"/>
      <c r="U11" s="28"/>
      <c r="V11" s="28"/>
      <c r="W11" s="28"/>
      <c r="X11" s="28"/>
      <c r="Y11" s="28"/>
    </row>
    <row r="12" spans="1:26" ht="18">
      <c r="A12" s="7"/>
      <c r="B12" s="8"/>
      <c r="C12" s="8"/>
      <c r="D12" s="9"/>
      <c r="E12" s="10">
        <v>43779</v>
      </c>
      <c r="F12" s="11"/>
      <c r="G12" s="11"/>
      <c r="H12" s="11"/>
      <c r="I12" s="11"/>
      <c r="J12" s="11"/>
      <c r="K12" s="20"/>
      <c r="L12" s="31" t="s">
        <v>22</v>
      </c>
      <c r="M12" s="32">
        <f>Q9-SUMIFS(D3:D34,B3:B34,L12)+SUMIFS(D3:D34,C3:C34,L12)</f>
        <v>0</v>
      </c>
      <c r="N12" s="33">
        <f t="shared" si="0"/>
        <v>0</v>
      </c>
      <c r="O12" s="28"/>
      <c r="P12" s="35" t="s">
        <v>25</v>
      </c>
      <c r="Q12" s="43"/>
      <c r="R12" s="28"/>
      <c r="S12" s="28"/>
      <c r="T12" s="28"/>
      <c r="U12" s="28"/>
      <c r="V12" s="28"/>
      <c r="W12" s="28"/>
      <c r="X12" s="28"/>
      <c r="Y12" s="28"/>
    </row>
    <row r="13" spans="1:26" ht="18">
      <c r="A13" s="7"/>
      <c r="B13" s="8"/>
      <c r="C13" s="8"/>
      <c r="D13" s="9"/>
      <c r="E13" s="10">
        <v>43780</v>
      </c>
      <c r="F13" s="11"/>
      <c r="G13" s="11"/>
      <c r="H13" s="11"/>
      <c r="I13" s="11"/>
      <c r="J13" s="11"/>
      <c r="K13" s="20"/>
      <c r="L13" s="21" t="s">
        <v>23</v>
      </c>
      <c r="M13" s="29">
        <f>Q10-SUMIFS(D3:D34,B3:B34,L13)+SUMIFS(D3:D34,C3:C34,L13)</f>
        <v>0</v>
      </c>
      <c r="N13" s="30"/>
      <c r="O13" s="28"/>
      <c r="R13" s="28"/>
      <c r="S13" s="28"/>
      <c r="T13" s="28"/>
      <c r="U13" s="28"/>
      <c r="V13" s="28"/>
      <c r="W13" s="28"/>
      <c r="X13" s="28"/>
      <c r="Y13" s="28"/>
    </row>
    <row r="14" spans="1:26" ht="18">
      <c r="A14" s="7"/>
      <c r="B14" s="8"/>
      <c r="C14" s="8"/>
      <c r="D14" s="9"/>
      <c r="E14" s="10">
        <v>43781</v>
      </c>
      <c r="F14" s="11"/>
      <c r="G14" s="11"/>
      <c r="H14" s="11"/>
      <c r="I14" s="11"/>
      <c r="J14" s="11"/>
      <c r="K14" s="20"/>
      <c r="L14" s="36" t="s">
        <v>24</v>
      </c>
      <c r="M14" s="29">
        <f>Q11-SUMIFS(D3:D34,B3:B34,L15)+SUMIFS(D3:D34,C3:C34,L15)</f>
        <v>0</v>
      </c>
      <c r="N14" s="30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</row>
    <row r="15" spans="1:26" ht="18">
      <c r="A15" s="7"/>
      <c r="B15" s="8"/>
      <c r="C15" s="8"/>
      <c r="D15" s="9"/>
      <c r="E15" s="10">
        <v>43782</v>
      </c>
      <c r="F15" s="11"/>
      <c r="G15" s="11"/>
      <c r="H15" s="11"/>
      <c r="I15" s="11"/>
      <c r="J15" s="11"/>
      <c r="K15" s="37"/>
      <c r="L15" s="21" t="s">
        <v>25</v>
      </c>
      <c r="M15" s="29">
        <f>Q12-SUMIFS(D3:D34,B3:B34,L15)+SUMIFS(D3:D34,C3:C34,L15)</f>
        <v>0</v>
      </c>
      <c r="N15" s="30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</row>
    <row r="16" spans="1:26" ht="18">
      <c r="A16" s="7"/>
      <c r="B16" s="8"/>
      <c r="C16" s="8"/>
      <c r="D16" s="9"/>
      <c r="E16" s="10">
        <v>43783</v>
      </c>
      <c r="F16" s="11"/>
      <c r="G16" s="11"/>
      <c r="H16" s="11"/>
      <c r="I16" s="11"/>
      <c r="J16" s="11"/>
      <c r="K16" s="37"/>
      <c r="L16" s="38" t="s">
        <v>26</v>
      </c>
      <c r="M16" s="39">
        <f>M5+M13+M14+M15</f>
        <v>0</v>
      </c>
      <c r="N16" s="40">
        <f>N5+N13+N14+N15</f>
        <v>0</v>
      </c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</row>
    <row r="17" spans="1:25" ht="18">
      <c r="A17" s="7"/>
      <c r="B17" s="8"/>
      <c r="C17" s="8"/>
      <c r="D17" s="9"/>
      <c r="E17" s="10">
        <v>43784</v>
      </c>
      <c r="F17" s="11"/>
      <c r="G17" s="11"/>
      <c r="H17" s="11"/>
      <c r="I17" s="11"/>
      <c r="J17" s="11"/>
      <c r="K17" s="37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</row>
    <row r="18" spans="1:25" ht="18">
      <c r="A18" s="7"/>
      <c r="B18" s="8"/>
      <c r="C18" s="8"/>
      <c r="D18" s="9"/>
      <c r="E18" s="10">
        <v>43785</v>
      </c>
      <c r="F18" s="11"/>
      <c r="G18" s="11"/>
      <c r="H18" s="11"/>
      <c r="I18" s="11"/>
      <c r="J18" s="11"/>
      <c r="K18" s="37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</row>
    <row r="19" spans="1:25" ht="18">
      <c r="A19" s="7"/>
      <c r="B19" s="8"/>
      <c r="C19" s="8"/>
      <c r="D19" s="9"/>
      <c r="E19" s="10">
        <v>43786</v>
      </c>
      <c r="F19" s="11"/>
      <c r="G19" s="11"/>
      <c r="H19" s="11"/>
      <c r="I19" s="11"/>
      <c r="J19" s="11"/>
      <c r="K19" s="37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</row>
    <row r="20" spans="1:25" ht="18">
      <c r="A20" s="7"/>
      <c r="B20" s="8"/>
      <c r="C20" s="8"/>
      <c r="D20" s="9"/>
      <c r="E20" s="10">
        <v>43787</v>
      </c>
      <c r="F20" s="11"/>
      <c r="G20" s="11"/>
      <c r="H20" s="11"/>
      <c r="I20" s="11"/>
      <c r="J20" s="11"/>
      <c r="K20" s="37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</row>
    <row r="21" spans="1:25" ht="18">
      <c r="A21" s="7"/>
      <c r="B21" s="8"/>
      <c r="C21" s="8"/>
      <c r="D21" s="9"/>
      <c r="E21" s="10">
        <v>43788</v>
      </c>
      <c r="F21" s="11"/>
      <c r="G21" s="11"/>
      <c r="H21" s="11"/>
      <c r="I21" s="11"/>
      <c r="J21" s="11"/>
      <c r="K21" s="37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</row>
    <row r="22" spans="1:25" ht="18">
      <c r="A22" s="7"/>
      <c r="B22" s="8"/>
      <c r="C22" s="8"/>
      <c r="D22" s="9"/>
      <c r="E22" s="10">
        <v>43789</v>
      </c>
      <c r="F22" s="11"/>
      <c r="G22" s="11"/>
      <c r="H22" s="11"/>
      <c r="I22" s="11"/>
      <c r="J22" s="11"/>
      <c r="K22" s="37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</row>
    <row r="23" spans="1:25" ht="18">
      <c r="A23" s="14"/>
      <c r="B23" s="8"/>
      <c r="C23" s="8"/>
      <c r="D23" s="13"/>
      <c r="E23" s="10">
        <v>43790</v>
      </c>
      <c r="F23" s="11"/>
      <c r="G23" s="11"/>
      <c r="H23" s="11"/>
      <c r="I23" s="11"/>
      <c r="J23" s="11"/>
      <c r="K23" s="37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</row>
    <row r="24" spans="1:25" ht="18">
      <c r="A24" s="14"/>
      <c r="B24" s="8"/>
      <c r="C24" s="8"/>
      <c r="D24" s="13"/>
      <c r="E24" s="10">
        <v>43791</v>
      </c>
      <c r="F24" s="11"/>
      <c r="G24" s="11"/>
      <c r="H24" s="11"/>
      <c r="I24" s="11"/>
      <c r="J24" s="11"/>
      <c r="K24" s="37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</row>
    <row r="25" spans="1:25" ht="18">
      <c r="A25" s="7"/>
      <c r="B25" s="8"/>
      <c r="C25" s="8"/>
      <c r="D25" s="9"/>
      <c r="E25" s="10">
        <v>43792</v>
      </c>
      <c r="F25" s="11"/>
      <c r="G25" s="11"/>
      <c r="H25" s="11"/>
      <c r="I25" s="11"/>
      <c r="J25" s="11"/>
      <c r="K25" s="37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</row>
    <row r="26" spans="1:25" ht="18">
      <c r="A26" s="7"/>
      <c r="B26" s="8"/>
      <c r="C26" s="8"/>
      <c r="D26" s="9"/>
      <c r="E26" s="10">
        <v>43793</v>
      </c>
      <c r="F26" s="11"/>
      <c r="G26" s="11"/>
      <c r="H26" s="11"/>
      <c r="I26" s="11"/>
      <c r="J26" s="11"/>
      <c r="K26" s="37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</row>
    <row r="27" spans="1:25" ht="18">
      <c r="A27" s="7"/>
      <c r="B27" s="8"/>
      <c r="C27" s="8"/>
      <c r="D27" s="9"/>
      <c r="E27" s="10">
        <v>43794</v>
      </c>
      <c r="F27" s="11"/>
      <c r="G27" s="11"/>
      <c r="H27" s="11"/>
      <c r="I27" s="11"/>
      <c r="J27" s="11"/>
      <c r="K27" s="37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</row>
    <row r="28" spans="1:25" ht="18">
      <c r="A28" s="7"/>
      <c r="B28" s="8"/>
      <c r="C28" s="8"/>
      <c r="D28" s="9"/>
      <c r="E28" s="10">
        <v>43795</v>
      </c>
      <c r="F28" s="11"/>
      <c r="G28" s="11"/>
      <c r="H28" s="11"/>
      <c r="I28" s="11"/>
      <c r="J28" s="11"/>
      <c r="K28" s="37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</row>
    <row r="29" spans="1:25" ht="18">
      <c r="A29" s="7"/>
      <c r="B29" s="8"/>
      <c r="C29" s="8"/>
      <c r="D29" s="9"/>
      <c r="E29" s="10">
        <v>43796</v>
      </c>
      <c r="F29" s="11"/>
      <c r="G29" s="11"/>
      <c r="H29" s="11"/>
      <c r="I29" s="11"/>
      <c r="J29" s="11"/>
      <c r="K29" s="37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</row>
    <row r="30" spans="1:25" ht="18">
      <c r="A30" s="7"/>
      <c r="B30" s="8"/>
      <c r="C30" s="8"/>
      <c r="D30" s="9"/>
      <c r="E30" s="10">
        <v>43797</v>
      </c>
      <c r="F30" s="11"/>
      <c r="G30" s="11"/>
      <c r="H30" s="11"/>
      <c r="I30" s="11"/>
      <c r="J30" s="11"/>
      <c r="K30" s="37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</row>
    <row r="31" spans="1:25" ht="18">
      <c r="A31" s="7"/>
      <c r="B31" s="8"/>
      <c r="C31" s="8"/>
      <c r="D31" s="9"/>
      <c r="E31" s="10">
        <v>43798</v>
      </c>
      <c r="F31" s="11"/>
      <c r="G31" s="11"/>
      <c r="H31" s="11"/>
      <c r="I31" s="11"/>
      <c r="J31" s="11"/>
      <c r="K31" s="37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</row>
    <row r="32" spans="1:25" ht="18">
      <c r="A32" s="7"/>
      <c r="B32" s="8"/>
      <c r="C32" s="8"/>
      <c r="D32" s="9"/>
      <c r="E32" s="10">
        <v>43799</v>
      </c>
      <c r="F32" s="11"/>
      <c r="G32" s="11"/>
      <c r="H32" s="11"/>
      <c r="I32" s="11"/>
      <c r="J32" s="11"/>
      <c r="K32" s="37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</row>
    <row r="33" spans="1:25" ht="18">
      <c r="A33" s="7"/>
      <c r="B33" s="8"/>
      <c r="C33" s="8"/>
      <c r="D33" s="9"/>
      <c r="E33" s="10"/>
      <c r="F33" s="11"/>
      <c r="G33" s="11"/>
      <c r="H33" s="11"/>
      <c r="I33" s="11"/>
      <c r="J33" s="11"/>
      <c r="K33" s="37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</row>
    <row r="34" spans="1:25" ht="18">
      <c r="A34" s="15"/>
      <c r="B34" s="8"/>
      <c r="C34" s="8"/>
      <c r="D34" s="16"/>
      <c r="E34" s="17" t="s">
        <v>26</v>
      </c>
      <c r="F34" s="18">
        <f t="shared" ref="F34:J34" si="1">SUM(F3:F33)</f>
        <v>0</v>
      </c>
      <c r="G34" s="18">
        <f t="shared" si="1"/>
        <v>0</v>
      </c>
      <c r="H34" s="18">
        <f t="shared" si="1"/>
        <v>0</v>
      </c>
      <c r="I34" s="18">
        <f t="shared" si="1"/>
        <v>0</v>
      </c>
      <c r="J34" s="18">
        <f t="shared" si="1"/>
        <v>0</v>
      </c>
      <c r="K34" s="41">
        <f>SUM(F34:J34)</f>
        <v>0</v>
      </c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</row>
  </sheetData>
  <mergeCells count="5">
    <mergeCell ref="A1:D1"/>
    <mergeCell ref="E1:K1"/>
    <mergeCell ref="L1:N1"/>
    <mergeCell ref="L2:N2"/>
    <mergeCell ref="P2:Q2"/>
  </mergeCells>
  <phoneticPr fontId="11" type="noConversion"/>
  <dataValidations count="1">
    <dataValidation type="list" allowBlank="1" showInputMessage="1" showErrorMessage="1" promptTitle="From" sqref="B3:C34">
      <formula1>"薪水收入,利息收入,租金收入,股票, 基金,房地產,現金,LINE,街口,消費帳戶,投資帳戶,娛樂帳戶,存款帳戶"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39"/>
  <sheetViews>
    <sheetView workbookViewId="0">
      <selection activeCell="B5" sqref="B5:C5"/>
    </sheetView>
  </sheetViews>
  <sheetFormatPr defaultRowHeight="15.75"/>
  <cols>
    <col min="1" max="1" width="16.42578125" bestFit="1" customWidth="1"/>
    <col min="5" max="5" width="11.28515625" bestFit="1" customWidth="1"/>
    <col min="6" max="6" width="10.7109375" bestFit="1" customWidth="1"/>
    <col min="18" max="18" width="10.7109375" bestFit="1" customWidth="1"/>
  </cols>
  <sheetData>
    <row r="1" spans="1:18" ht="18.75" thickBot="1">
      <c r="B1" s="53" t="s">
        <v>28</v>
      </c>
      <c r="C1" s="84"/>
      <c r="D1" s="83" t="s">
        <v>29</v>
      </c>
      <c r="E1" s="82">
        <f>R7</f>
        <v>0</v>
      </c>
      <c r="F1" s="81" t="s">
        <v>30</v>
      </c>
      <c r="G1" s="82">
        <f>C1-E1</f>
        <v>0</v>
      </c>
    </row>
    <row r="3" spans="1:18" ht="15.75" customHeight="1">
      <c r="A3" s="54"/>
      <c r="B3" s="55" t="s">
        <v>31</v>
      </c>
      <c r="C3" s="56"/>
      <c r="D3" s="56"/>
      <c r="E3" s="56"/>
      <c r="F3" s="56"/>
      <c r="G3" s="57"/>
      <c r="H3" s="55" t="s">
        <v>32</v>
      </c>
      <c r="I3" s="56"/>
      <c r="J3" s="56"/>
      <c r="K3" s="56"/>
      <c r="L3" s="56"/>
      <c r="M3" s="56"/>
      <c r="N3" s="56"/>
      <c r="O3" s="56"/>
      <c r="P3" s="56"/>
      <c r="Q3" s="57"/>
      <c r="R3" s="58" t="s">
        <v>33</v>
      </c>
    </row>
    <row r="4" spans="1:18" ht="15.75" customHeight="1">
      <c r="A4" s="54"/>
      <c r="B4" s="59"/>
      <c r="C4" s="60"/>
      <c r="D4" s="60"/>
      <c r="E4" s="60"/>
      <c r="F4" s="60"/>
      <c r="G4" s="61"/>
      <c r="H4" s="59"/>
      <c r="I4" s="60"/>
      <c r="J4" s="60"/>
      <c r="K4" s="60"/>
      <c r="L4" s="60"/>
      <c r="M4" s="60"/>
      <c r="N4" s="60"/>
      <c r="O4" s="60"/>
      <c r="P4" s="60"/>
      <c r="Q4" s="61"/>
      <c r="R4" s="58"/>
    </row>
    <row r="5" spans="1:18" ht="18.75" thickBot="1">
      <c r="A5" s="62"/>
      <c r="B5" s="63" t="s">
        <v>34</v>
      </c>
      <c r="C5" s="63" t="s">
        <v>35</v>
      </c>
      <c r="D5" s="63" t="s">
        <v>36</v>
      </c>
      <c r="E5" s="63" t="s">
        <v>37</v>
      </c>
      <c r="F5" s="63" t="s">
        <v>38</v>
      </c>
      <c r="G5" s="63" t="s">
        <v>39</v>
      </c>
      <c r="H5" s="63" t="s">
        <v>40</v>
      </c>
      <c r="I5" s="63" t="s">
        <v>41</v>
      </c>
      <c r="J5" s="63" t="s">
        <v>42</v>
      </c>
      <c r="K5" s="63" t="s">
        <v>43</v>
      </c>
      <c r="L5" s="63" t="s">
        <v>44</v>
      </c>
      <c r="M5" s="63" t="s">
        <v>45</v>
      </c>
      <c r="N5" s="63" t="s">
        <v>46</v>
      </c>
      <c r="O5" s="63" t="s">
        <v>47</v>
      </c>
      <c r="P5" s="63" t="s">
        <v>48</v>
      </c>
      <c r="Q5" s="63" t="s">
        <v>49</v>
      </c>
      <c r="R5" s="64"/>
    </row>
    <row r="6" spans="1:18" ht="18.75" thickBot="1">
      <c r="A6" s="65" t="s">
        <v>50</v>
      </c>
      <c r="B6" s="66"/>
      <c r="C6" s="67"/>
      <c r="D6" s="67"/>
      <c r="E6" s="67"/>
      <c r="F6" s="67"/>
      <c r="G6" s="67"/>
      <c r="H6" s="67"/>
      <c r="I6" s="67"/>
      <c r="J6" s="67"/>
      <c r="K6" s="67"/>
      <c r="L6" s="67"/>
      <c r="M6" s="67"/>
      <c r="N6" s="67"/>
      <c r="O6" s="67"/>
      <c r="P6" s="67"/>
      <c r="Q6" s="68"/>
      <c r="R6" s="19">
        <f>SUM(B6:Q6)</f>
        <v>0</v>
      </c>
    </row>
    <row r="7" spans="1:18" ht="18">
      <c r="A7" s="69" t="s">
        <v>51</v>
      </c>
      <c r="B7" s="19">
        <f>SUM(B9:B39)</f>
        <v>0</v>
      </c>
      <c r="C7" s="19">
        <f>SUM(C9:C39)</f>
        <v>0</v>
      </c>
      <c r="D7" s="19">
        <f>SUM(D9:D39)</f>
        <v>0</v>
      </c>
      <c r="E7" s="19">
        <f>SUM(E9:E39)</f>
        <v>0</v>
      </c>
      <c r="F7" s="19">
        <f>SUM(F9:F39)</f>
        <v>0</v>
      </c>
      <c r="G7" s="19">
        <f>SUM(G9:G39)</f>
        <v>0</v>
      </c>
      <c r="H7" s="19">
        <f>SUM(H9:H39)</f>
        <v>0</v>
      </c>
      <c r="I7" s="19">
        <f>SUM(I9:I39)</f>
        <v>0</v>
      </c>
      <c r="J7" s="19">
        <f>SUM(J9:J39)</f>
        <v>0</v>
      </c>
      <c r="K7" s="19">
        <f>SUM(K9:K39)</f>
        <v>0</v>
      </c>
      <c r="L7" s="19">
        <f>SUM(L9:L39)</f>
        <v>0</v>
      </c>
      <c r="M7" s="19">
        <f>SUM(M9:M39)</f>
        <v>0</v>
      </c>
      <c r="N7" s="19">
        <f>SUM(N9:N39)</f>
        <v>0</v>
      </c>
      <c r="O7" s="19">
        <f>SUM(O9:O39)</f>
        <v>0</v>
      </c>
      <c r="P7" s="19">
        <f>SUM(P9:P39)</f>
        <v>0</v>
      </c>
      <c r="Q7" s="19">
        <f>SUM(Q9:Q39)</f>
        <v>0</v>
      </c>
      <c r="R7" s="19">
        <f>SUM(B7:Q7)</f>
        <v>0</v>
      </c>
    </row>
    <row r="8" spans="1:18" ht="18.75" thickBot="1">
      <c r="A8" s="69" t="s">
        <v>30</v>
      </c>
      <c r="B8" s="19">
        <f>B6-B7</f>
        <v>0</v>
      </c>
      <c r="C8" s="19">
        <f t="shared" ref="C8:Q8" si="0">C6-C7</f>
        <v>0</v>
      </c>
      <c r="D8" s="19">
        <f t="shared" si="0"/>
        <v>0</v>
      </c>
      <c r="E8" s="19">
        <f>E6-E7</f>
        <v>0</v>
      </c>
      <c r="F8" s="19">
        <f t="shared" si="0"/>
        <v>0</v>
      </c>
      <c r="G8" s="19">
        <f t="shared" si="0"/>
        <v>0</v>
      </c>
      <c r="H8" s="19">
        <f t="shared" si="0"/>
        <v>0</v>
      </c>
      <c r="I8" s="19">
        <f t="shared" si="0"/>
        <v>0</v>
      </c>
      <c r="J8" s="19">
        <f t="shared" si="0"/>
        <v>0</v>
      </c>
      <c r="K8" s="19">
        <f t="shared" si="0"/>
        <v>0</v>
      </c>
      <c r="L8" s="19">
        <f t="shared" si="0"/>
        <v>0</v>
      </c>
      <c r="M8" s="19">
        <f t="shared" si="0"/>
        <v>0</v>
      </c>
      <c r="N8" s="19">
        <f t="shared" si="0"/>
        <v>0</v>
      </c>
      <c r="O8" s="19">
        <f t="shared" si="0"/>
        <v>0</v>
      </c>
      <c r="P8" s="19">
        <f t="shared" si="0"/>
        <v>0</v>
      </c>
      <c r="Q8" s="19">
        <f t="shared" si="0"/>
        <v>0</v>
      </c>
      <c r="R8" s="19">
        <f>SUM(B8:Q8)</f>
        <v>0</v>
      </c>
    </row>
    <row r="9" spans="1:18" ht="18">
      <c r="A9" s="70">
        <v>44197</v>
      </c>
      <c r="B9" s="71"/>
      <c r="C9" s="72"/>
      <c r="D9" s="72"/>
      <c r="E9" s="72"/>
      <c r="F9" s="72"/>
      <c r="G9" s="72"/>
      <c r="H9" s="72"/>
      <c r="I9" s="72"/>
      <c r="J9" s="72"/>
      <c r="K9" s="72"/>
      <c r="L9" s="72"/>
      <c r="M9" s="72"/>
      <c r="N9" s="72"/>
      <c r="O9" s="72"/>
      <c r="P9" s="72"/>
      <c r="Q9" s="73"/>
      <c r="R9" s="74">
        <f>SUM(B9:Q9)</f>
        <v>0</v>
      </c>
    </row>
    <row r="10" spans="1:18" ht="18">
      <c r="A10" s="70">
        <v>44198</v>
      </c>
      <c r="B10" s="75"/>
      <c r="C10" s="76"/>
      <c r="D10" s="76"/>
      <c r="E10" s="76"/>
      <c r="F10" s="76"/>
      <c r="G10" s="76"/>
      <c r="H10" s="76"/>
      <c r="I10" s="76"/>
      <c r="J10" s="76"/>
      <c r="K10" s="76"/>
      <c r="L10" s="76"/>
      <c r="M10" s="76"/>
      <c r="N10" s="76"/>
      <c r="O10" s="76"/>
      <c r="P10" s="76"/>
      <c r="Q10" s="77"/>
      <c r="R10" s="74">
        <f>SUM(B10:Q10)</f>
        <v>0</v>
      </c>
    </row>
    <row r="11" spans="1:18" ht="18">
      <c r="A11" s="70">
        <v>44199</v>
      </c>
      <c r="B11" s="75"/>
      <c r="C11" s="76"/>
      <c r="D11" s="76"/>
      <c r="E11" s="76"/>
      <c r="F11" s="76"/>
      <c r="G11" s="76"/>
      <c r="H11" s="76"/>
      <c r="I11" s="76"/>
      <c r="J11" s="76"/>
      <c r="K11" s="76"/>
      <c r="L11" s="76"/>
      <c r="M11" s="76"/>
      <c r="N11" s="76"/>
      <c r="O11" s="76"/>
      <c r="P11" s="76"/>
      <c r="Q11" s="77"/>
      <c r="R11" s="74">
        <f>SUM(B11:Q11)</f>
        <v>0</v>
      </c>
    </row>
    <row r="12" spans="1:18" ht="18">
      <c r="A12" s="70">
        <v>44200</v>
      </c>
      <c r="B12" s="75"/>
      <c r="C12" s="76"/>
      <c r="D12" s="76"/>
      <c r="E12" s="76"/>
      <c r="F12" s="76"/>
      <c r="G12" s="76"/>
      <c r="H12" s="76"/>
      <c r="I12" s="76"/>
      <c r="J12" s="76"/>
      <c r="K12" s="76"/>
      <c r="L12" s="76"/>
      <c r="M12" s="76"/>
      <c r="N12" s="76"/>
      <c r="O12" s="76"/>
      <c r="P12" s="76"/>
      <c r="Q12" s="77"/>
      <c r="R12" s="74">
        <f>SUM(B12:Q12)</f>
        <v>0</v>
      </c>
    </row>
    <row r="13" spans="1:18" ht="18">
      <c r="A13" s="70">
        <v>44201</v>
      </c>
      <c r="B13" s="75"/>
      <c r="C13" s="76"/>
      <c r="D13" s="76"/>
      <c r="E13" s="76"/>
      <c r="F13" s="76"/>
      <c r="G13" s="76"/>
      <c r="H13" s="76"/>
      <c r="I13" s="76"/>
      <c r="J13" s="76"/>
      <c r="K13" s="76"/>
      <c r="L13" s="76"/>
      <c r="M13" s="76"/>
      <c r="N13" s="76"/>
      <c r="O13" s="76"/>
      <c r="P13" s="76"/>
      <c r="Q13" s="77"/>
      <c r="R13" s="74">
        <f>SUM(B13:Q13)</f>
        <v>0</v>
      </c>
    </row>
    <row r="14" spans="1:18" ht="18">
      <c r="A14" s="70">
        <v>44202</v>
      </c>
      <c r="B14" s="75"/>
      <c r="C14" s="76"/>
      <c r="D14" s="76"/>
      <c r="E14" s="76"/>
      <c r="F14" s="76"/>
      <c r="G14" s="76"/>
      <c r="H14" s="76"/>
      <c r="I14" s="76"/>
      <c r="J14" s="76"/>
      <c r="K14" s="76"/>
      <c r="L14" s="76"/>
      <c r="M14" s="76"/>
      <c r="N14" s="76"/>
      <c r="O14" s="76"/>
      <c r="P14" s="76"/>
      <c r="Q14" s="77"/>
      <c r="R14" s="74">
        <f>SUM(B14:Q14)</f>
        <v>0</v>
      </c>
    </row>
    <row r="15" spans="1:18" ht="18">
      <c r="A15" s="70">
        <v>44203</v>
      </c>
      <c r="B15" s="75"/>
      <c r="C15" s="76"/>
      <c r="D15" s="76"/>
      <c r="E15" s="76"/>
      <c r="F15" s="76"/>
      <c r="G15" s="76"/>
      <c r="H15" s="76"/>
      <c r="I15" s="76"/>
      <c r="J15" s="76"/>
      <c r="K15" s="76"/>
      <c r="L15" s="76"/>
      <c r="M15" s="76"/>
      <c r="N15" s="76"/>
      <c r="O15" s="76"/>
      <c r="P15" s="76"/>
      <c r="Q15" s="77"/>
      <c r="R15" s="74">
        <f>SUM(B15:Q15)</f>
        <v>0</v>
      </c>
    </row>
    <row r="16" spans="1:18" ht="18">
      <c r="A16" s="70">
        <v>44204</v>
      </c>
      <c r="B16" s="75"/>
      <c r="C16" s="76"/>
      <c r="D16" s="76"/>
      <c r="E16" s="76"/>
      <c r="F16" s="76"/>
      <c r="G16" s="76"/>
      <c r="H16" s="76"/>
      <c r="I16" s="76"/>
      <c r="J16" s="76"/>
      <c r="K16" s="76"/>
      <c r="L16" s="76"/>
      <c r="M16" s="76"/>
      <c r="N16" s="76"/>
      <c r="O16" s="76"/>
      <c r="P16" s="76"/>
      <c r="Q16" s="77"/>
      <c r="R16" s="74">
        <f>SUM(B16:Q16)</f>
        <v>0</v>
      </c>
    </row>
    <row r="17" spans="1:18" ht="18">
      <c r="A17" s="70">
        <v>44205</v>
      </c>
      <c r="B17" s="75"/>
      <c r="C17" s="76"/>
      <c r="D17" s="76"/>
      <c r="E17" s="76"/>
      <c r="F17" s="76"/>
      <c r="G17" s="76"/>
      <c r="H17" s="76"/>
      <c r="I17" s="76"/>
      <c r="J17" s="76"/>
      <c r="K17" s="76"/>
      <c r="L17" s="76"/>
      <c r="M17" s="76"/>
      <c r="N17" s="76"/>
      <c r="O17" s="76"/>
      <c r="P17" s="76"/>
      <c r="Q17" s="77"/>
      <c r="R17" s="74">
        <f>SUM(B17:Q17)</f>
        <v>0</v>
      </c>
    </row>
    <row r="18" spans="1:18" ht="18">
      <c r="A18" s="70">
        <v>44206</v>
      </c>
      <c r="B18" s="75"/>
      <c r="C18" s="76"/>
      <c r="D18" s="76"/>
      <c r="E18" s="76"/>
      <c r="F18" s="76"/>
      <c r="G18" s="76"/>
      <c r="H18" s="76"/>
      <c r="I18" s="76"/>
      <c r="J18" s="76"/>
      <c r="K18" s="76"/>
      <c r="L18" s="76"/>
      <c r="M18" s="76"/>
      <c r="N18" s="76"/>
      <c r="O18" s="76"/>
      <c r="P18" s="76"/>
      <c r="Q18" s="77"/>
      <c r="R18" s="74">
        <f>SUM(B18:Q18)</f>
        <v>0</v>
      </c>
    </row>
    <row r="19" spans="1:18" ht="18">
      <c r="A19" s="70">
        <v>44207</v>
      </c>
      <c r="B19" s="75"/>
      <c r="C19" s="76"/>
      <c r="D19" s="76"/>
      <c r="E19" s="76"/>
      <c r="F19" s="76"/>
      <c r="G19" s="76"/>
      <c r="H19" s="76"/>
      <c r="I19" s="76"/>
      <c r="J19" s="76"/>
      <c r="K19" s="76"/>
      <c r="L19" s="76"/>
      <c r="M19" s="76"/>
      <c r="N19" s="76"/>
      <c r="O19" s="76"/>
      <c r="P19" s="76"/>
      <c r="Q19" s="77"/>
      <c r="R19" s="74">
        <f>SUM(B19:Q19)</f>
        <v>0</v>
      </c>
    </row>
    <row r="20" spans="1:18" ht="18">
      <c r="A20" s="70">
        <v>44208</v>
      </c>
      <c r="B20" s="75"/>
      <c r="C20" s="76"/>
      <c r="D20" s="76"/>
      <c r="E20" s="76"/>
      <c r="F20" s="76"/>
      <c r="G20" s="76"/>
      <c r="H20" s="76"/>
      <c r="I20" s="76"/>
      <c r="J20" s="76"/>
      <c r="K20" s="76"/>
      <c r="L20" s="76"/>
      <c r="M20" s="76"/>
      <c r="N20" s="76"/>
      <c r="O20" s="76"/>
      <c r="P20" s="76"/>
      <c r="Q20" s="77"/>
      <c r="R20" s="74">
        <f>SUM(B20:Q20)</f>
        <v>0</v>
      </c>
    </row>
    <row r="21" spans="1:18" ht="18">
      <c r="A21" s="70">
        <v>44209</v>
      </c>
      <c r="B21" s="75"/>
      <c r="C21" s="76"/>
      <c r="D21" s="76"/>
      <c r="E21" s="76"/>
      <c r="F21" s="76"/>
      <c r="G21" s="76"/>
      <c r="H21" s="76"/>
      <c r="I21" s="76"/>
      <c r="J21" s="76"/>
      <c r="K21" s="76"/>
      <c r="L21" s="76"/>
      <c r="M21" s="76"/>
      <c r="N21" s="76"/>
      <c r="O21" s="76"/>
      <c r="P21" s="76"/>
      <c r="Q21" s="77"/>
      <c r="R21" s="74">
        <f>SUM(B21:Q21)</f>
        <v>0</v>
      </c>
    </row>
    <row r="22" spans="1:18" ht="18">
      <c r="A22" s="70">
        <v>44210</v>
      </c>
      <c r="B22" s="75"/>
      <c r="C22" s="76"/>
      <c r="D22" s="76"/>
      <c r="E22" s="76"/>
      <c r="F22" s="76"/>
      <c r="G22" s="76"/>
      <c r="H22" s="76"/>
      <c r="I22" s="76"/>
      <c r="J22" s="76"/>
      <c r="K22" s="76"/>
      <c r="L22" s="76"/>
      <c r="M22" s="76"/>
      <c r="N22" s="76"/>
      <c r="O22" s="76"/>
      <c r="P22" s="76"/>
      <c r="Q22" s="77"/>
      <c r="R22" s="74">
        <f>SUM(B22:Q22)</f>
        <v>0</v>
      </c>
    </row>
    <row r="23" spans="1:18" ht="18">
      <c r="A23" s="70">
        <v>44211</v>
      </c>
      <c r="B23" s="75"/>
      <c r="C23" s="76"/>
      <c r="D23" s="76"/>
      <c r="E23" s="76"/>
      <c r="F23" s="76"/>
      <c r="G23" s="76"/>
      <c r="H23" s="76"/>
      <c r="I23" s="76"/>
      <c r="J23" s="76"/>
      <c r="K23" s="76"/>
      <c r="L23" s="76"/>
      <c r="M23" s="76"/>
      <c r="N23" s="76"/>
      <c r="O23" s="76"/>
      <c r="P23" s="76"/>
      <c r="Q23" s="77"/>
      <c r="R23" s="74">
        <f>SUM(B23:Q23)</f>
        <v>0</v>
      </c>
    </row>
    <row r="24" spans="1:18" ht="18">
      <c r="A24" s="70">
        <v>44212</v>
      </c>
      <c r="B24" s="75"/>
      <c r="C24" s="76"/>
      <c r="D24" s="76"/>
      <c r="E24" s="76"/>
      <c r="F24" s="76"/>
      <c r="G24" s="76"/>
      <c r="H24" s="76"/>
      <c r="I24" s="76"/>
      <c r="J24" s="76"/>
      <c r="K24" s="76"/>
      <c r="L24" s="76"/>
      <c r="M24" s="76"/>
      <c r="N24" s="76"/>
      <c r="O24" s="76"/>
      <c r="P24" s="76"/>
      <c r="Q24" s="77"/>
      <c r="R24" s="74">
        <f>SUM(B24:Q24)</f>
        <v>0</v>
      </c>
    </row>
    <row r="25" spans="1:18" ht="18">
      <c r="A25" s="70">
        <v>44213</v>
      </c>
      <c r="B25" s="75"/>
      <c r="C25" s="76"/>
      <c r="D25" s="76"/>
      <c r="E25" s="76"/>
      <c r="F25" s="76"/>
      <c r="G25" s="76"/>
      <c r="H25" s="76"/>
      <c r="I25" s="76"/>
      <c r="J25" s="76"/>
      <c r="K25" s="76"/>
      <c r="L25" s="76"/>
      <c r="M25" s="76"/>
      <c r="N25" s="76"/>
      <c r="O25" s="76"/>
      <c r="P25" s="76"/>
      <c r="Q25" s="77"/>
      <c r="R25" s="74">
        <f>SUM(B25:Q25)</f>
        <v>0</v>
      </c>
    </row>
    <row r="26" spans="1:18" ht="18">
      <c r="A26" s="70">
        <v>44214</v>
      </c>
      <c r="B26" s="75"/>
      <c r="C26" s="76"/>
      <c r="D26" s="76"/>
      <c r="E26" s="76"/>
      <c r="F26" s="76"/>
      <c r="G26" s="76"/>
      <c r="H26" s="76"/>
      <c r="I26" s="76"/>
      <c r="J26" s="76"/>
      <c r="K26" s="76"/>
      <c r="L26" s="76"/>
      <c r="M26" s="76"/>
      <c r="N26" s="76"/>
      <c r="O26" s="76"/>
      <c r="P26" s="76"/>
      <c r="Q26" s="77"/>
      <c r="R26" s="74">
        <f>SUM(B26:Q26)</f>
        <v>0</v>
      </c>
    </row>
    <row r="27" spans="1:18" ht="18">
      <c r="A27" s="70">
        <v>44215</v>
      </c>
      <c r="B27" s="75"/>
      <c r="C27" s="76"/>
      <c r="D27" s="76"/>
      <c r="E27" s="76"/>
      <c r="F27" s="76"/>
      <c r="G27" s="76"/>
      <c r="H27" s="76"/>
      <c r="I27" s="76"/>
      <c r="J27" s="76"/>
      <c r="K27" s="76"/>
      <c r="L27" s="76"/>
      <c r="M27" s="76"/>
      <c r="N27" s="76"/>
      <c r="O27" s="76"/>
      <c r="P27" s="76"/>
      <c r="Q27" s="77"/>
      <c r="R27" s="74">
        <f>SUM(B27:Q27)</f>
        <v>0</v>
      </c>
    </row>
    <row r="28" spans="1:18" ht="18">
      <c r="A28" s="70">
        <v>44216</v>
      </c>
      <c r="B28" s="75"/>
      <c r="C28" s="76"/>
      <c r="D28" s="76"/>
      <c r="E28" s="76"/>
      <c r="F28" s="76"/>
      <c r="G28" s="76"/>
      <c r="H28" s="76"/>
      <c r="I28" s="76"/>
      <c r="J28" s="76"/>
      <c r="K28" s="76"/>
      <c r="L28" s="76"/>
      <c r="M28" s="76"/>
      <c r="N28" s="76"/>
      <c r="O28" s="76"/>
      <c r="P28" s="76"/>
      <c r="Q28" s="77"/>
      <c r="R28" s="74">
        <f>SUM(B28:Q28)</f>
        <v>0</v>
      </c>
    </row>
    <row r="29" spans="1:18" ht="18">
      <c r="A29" s="70">
        <v>44217</v>
      </c>
      <c r="B29" s="75"/>
      <c r="C29" s="76"/>
      <c r="D29" s="76"/>
      <c r="E29" s="76"/>
      <c r="F29" s="76"/>
      <c r="G29" s="76"/>
      <c r="H29" s="76"/>
      <c r="I29" s="76"/>
      <c r="J29" s="76"/>
      <c r="K29" s="76"/>
      <c r="L29" s="76"/>
      <c r="M29" s="76"/>
      <c r="N29" s="76"/>
      <c r="O29" s="76"/>
      <c r="P29" s="76"/>
      <c r="Q29" s="77"/>
      <c r="R29" s="74">
        <f>SUM(B29:Q29)</f>
        <v>0</v>
      </c>
    </row>
    <row r="30" spans="1:18" ht="18">
      <c r="A30" s="70">
        <v>44218</v>
      </c>
      <c r="B30" s="75"/>
      <c r="C30" s="76"/>
      <c r="D30" s="76"/>
      <c r="E30" s="76"/>
      <c r="F30" s="76"/>
      <c r="G30" s="76"/>
      <c r="H30" s="76"/>
      <c r="I30" s="76"/>
      <c r="J30" s="76"/>
      <c r="K30" s="76"/>
      <c r="L30" s="76"/>
      <c r="M30" s="76"/>
      <c r="N30" s="76"/>
      <c r="O30" s="76"/>
      <c r="P30" s="76"/>
      <c r="Q30" s="77"/>
      <c r="R30" s="74">
        <f>SUM(B30:Q30)</f>
        <v>0</v>
      </c>
    </row>
    <row r="31" spans="1:18" ht="18">
      <c r="A31" s="70">
        <v>44219</v>
      </c>
      <c r="B31" s="75"/>
      <c r="C31" s="76"/>
      <c r="D31" s="76"/>
      <c r="E31" s="76"/>
      <c r="F31" s="76"/>
      <c r="G31" s="76"/>
      <c r="H31" s="76"/>
      <c r="I31" s="76"/>
      <c r="J31" s="76"/>
      <c r="K31" s="76"/>
      <c r="L31" s="76"/>
      <c r="M31" s="76"/>
      <c r="N31" s="76"/>
      <c r="O31" s="76"/>
      <c r="P31" s="76"/>
      <c r="Q31" s="77"/>
      <c r="R31" s="74">
        <f>SUM(B31:Q31)</f>
        <v>0</v>
      </c>
    </row>
    <row r="32" spans="1:18" ht="18">
      <c r="A32" s="70">
        <v>44220</v>
      </c>
      <c r="B32" s="75"/>
      <c r="C32" s="76"/>
      <c r="D32" s="76"/>
      <c r="E32" s="76"/>
      <c r="F32" s="76"/>
      <c r="G32" s="76"/>
      <c r="H32" s="76"/>
      <c r="I32" s="76"/>
      <c r="J32" s="76"/>
      <c r="K32" s="76"/>
      <c r="L32" s="76"/>
      <c r="M32" s="76"/>
      <c r="N32" s="76"/>
      <c r="O32" s="76"/>
      <c r="P32" s="76"/>
      <c r="Q32" s="77"/>
      <c r="R32" s="74">
        <f>SUM(B32:Q32)</f>
        <v>0</v>
      </c>
    </row>
    <row r="33" spans="1:18" ht="18">
      <c r="A33" s="70">
        <v>44221</v>
      </c>
      <c r="B33" s="75"/>
      <c r="C33" s="76"/>
      <c r="D33" s="76"/>
      <c r="E33" s="76"/>
      <c r="F33" s="76"/>
      <c r="G33" s="76"/>
      <c r="H33" s="76"/>
      <c r="I33" s="76"/>
      <c r="J33" s="76"/>
      <c r="K33" s="76"/>
      <c r="L33" s="76"/>
      <c r="M33" s="76"/>
      <c r="N33" s="76"/>
      <c r="O33" s="76"/>
      <c r="P33" s="76"/>
      <c r="Q33" s="77"/>
      <c r="R33" s="74">
        <f>SUM(B33:Q33)</f>
        <v>0</v>
      </c>
    </row>
    <row r="34" spans="1:18" ht="18">
      <c r="A34" s="70">
        <v>44222</v>
      </c>
      <c r="B34" s="75"/>
      <c r="C34" s="76"/>
      <c r="D34" s="76"/>
      <c r="E34" s="76"/>
      <c r="F34" s="76"/>
      <c r="G34" s="76"/>
      <c r="H34" s="76"/>
      <c r="I34" s="76"/>
      <c r="J34" s="76"/>
      <c r="K34" s="76"/>
      <c r="L34" s="76"/>
      <c r="M34" s="76"/>
      <c r="N34" s="76"/>
      <c r="O34" s="76"/>
      <c r="P34" s="76"/>
      <c r="Q34" s="77"/>
      <c r="R34" s="74">
        <f>SUM(B34:Q34)</f>
        <v>0</v>
      </c>
    </row>
    <row r="35" spans="1:18" ht="18">
      <c r="A35" s="70">
        <v>44223</v>
      </c>
      <c r="B35" s="75"/>
      <c r="C35" s="76"/>
      <c r="D35" s="76"/>
      <c r="E35" s="76"/>
      <c r="F35" s="76"/>
      <c r="G35" s="76"/>
      <c r="H35" s="76"/>
      <c r="I35" s="76"/>
      <c r="J35" s="76"/>
      <c r="K35" s="76"/>
      <c r="L35" s="76"/>
      <c r="M35" s="76"/>
      <c r="N35" s="76"/>
      <c r="O35" s="76"/>
      <c r="P35" s="76"/>
      <c r="Q35" s="77"/>
      <c r="R35" s="74">
        <f>SUM(B35:Q35)</f>
        <v>0</v>
      </c>
    </row>
    <row r="36" spans="1:18" ht="18">
      <c r="A36" s="70">
        <v>44224</v>
      </c>
      <c r="B36" s="75"/>
      <c r="C36" s="76"/>
      <c r="D36" s="76"/>
      <c r="E36" s="76"/>
      <c r="F36" s="76"/>
      <c r="G36" s="76"/>
      <c r="H36" s="76"/>
      <c r="I36" s="76"/>
      <c r="J36" s="76"/>
      <c r="K36" s="76"/>
      <c r="L36" s="76"/>
      <c r="M36" s="76"/>
      <c r="N36" s="76"/>
      <c r="O36" s="76"/>
      <c r="P36" s="76"/>
      <c r="Q36" s="77"/>
      <c r="R36" s="74">
        <f>SUM(B36:Q36)</f>
        <v>0</v>
      </c>
    </row>
    <row r="37" spans="1:18" ht="18">
      <c r="A37" s="70">
        <v>44225</v>
      </c>
      <c r="B37" s="75"/>
      <c r="C37" s="76"/>
      <c r="D37" s="76"/>
      <c r="E37" s="76"/>
      <c r="F37" s="76"/>
      <c r="G37" s="76"/>
      <c r="H37" s="76"/>
      <c r="I37" s="76"/>
      <c r="J37" s="76"/>
      <c r="K37" s="76"/>
      <c r="L37" s="76"/>
      <c r="M37" s="76"/>
      <c r="N37" s="76"/>
      <c r="O37" s="76"/>
      <c r="P37" s="76"/>
      <c r="Q37" s="77"/>
      <c r="R37" s="74">
        <f>SUM(B37:Q37)</f>
        <v>0</v>
      </c>
    </row>
    <row r="38" spans="1:18" ht="18">
      <c r="A38" s="70">
        <v>44226</v>
      </c>
      <c r="B38" s="75"/>
      <c r="C38" s="76"/>
      <c r="D38" s="76"/>
      <c r="E38" s="76"/>
      <c r="F38" s="76"/>
      <c r="G38" s="76"/>
      <c r="H38" s="76"/>
      <c r="I38" s="76"/>
      <c r="J38" s="76"/>
      <c r="K38" s="76"/>
      <c r="L38" s="76"/>
      <c r="M38" s="76"/>
      <c r="N38" s="76"/>
      <c r="O38" s="76"/>
      <c r="P38" s="76"/>
      <c r="Q38" s="77"/>
      <c r="R38" s="74">
        <f>SUM(B38:Q38)</f>
        <v>0</v>
      </c>
    </row>
    <row r="39" spans="1:18" ht="18.75" thickBot="1">
      <c r="A39" s="70">
        <v>44227</v>
      </c>
      <c r="B39" s="78"/>
      <c r="C39" s="79"/>
      <c r="D39" s="79"/>
      <c r="E39" s="79"/>
      <c r="F39" s="79"/>
      <c r="G39" s="79"/>
      <c r="H39" s="79"/>
      <c r="I39" s="79"/>
      <c r="J39" s="79"/>
      <c r="K39" s="79"/>
      <c r="L39" s="79"/>
      <c r="M39" s="79"/>
      <c r="N39" s="79"/>
      <c r="O39" s="79"/>
      <c r="P39" s="79"/>
      <c r="Q39" s="80"/>
      <c r="R39" s="74">
        <f>SUM(B39:Q39)</f>
        <v>0</v>
      </c>
    </row>
  </sheetData>
  <mergeCells count="4">
    <mergeCell ref="A3:A5"/>
    <mergeCell ref="B3:G4"/>
    <mergeCell ref="H3:Q4"/>
    <mergeCell ref="R3:R5"/>
  </mergeCells>
  <phoneticPr fontId="1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"/>
  <sheetViews>
    <sheetView workbookViewId="0">
      <selection activeCell="A3" sqref="A3"/>
    </sheetView>
  </sheetViews>
  <sheetFormatPr defaultRowHeight="15.75"/>
  <cols>
    <col min="1" max="4" width="11.28515625" bestFit="1" customWidth="1"/>
    <col min="5" max="5" width="11.28515625" customWidth="1"/>
    <col min="6" max="6" width="11.28515625" bestFit="1" customWidth="1"/>
    <col min="7" max="11" width="11.28515625" customWidth="1"/>
    <col min="12" max="12" width="11.28515625" bestFit="1" customWidth="1"/>
    <col min="13" max="13" width="31.140625" customWidth="1"/>
  </cols>
  <sheetData>
    <row r="1" spans="1:13">
      <c r="A1" s="85" t="s">
        <v>64</v>
      </c>
      <c r="C1" s="85" t="s">
        <v>65</v>
      </c>
    </row>
    <row r="3" spans="1:13" ht="18">
      <c r="A3" s="63" t="s">
        <v>52</v>
      </c>
      <c r="B3" s="63" t="s">
        <v>53</v>
      </c>
      <c r="C3" s="86" t="s">
        <v>54</v>
      </c>
      <c r="D3" s="86" t="s">
        <v>55</v>
      </c>
      <c r="E3" s="86" t="s">
        <v>63</v>
      </c>
      <c r="F3" s="87" t="s">
        <v>56</v>
      </c>
      <c r="G3" s="87" t="s">
        <v>59</v>
      </c>
      <c r="H3" s="87" t="s">
        <v>66</v>
      </c>
      <c r="I3" s="63" t="s">
        <v>60</v>
      </c>
      <c r="J3" s="63" t="s">
        <v>61</v>
      </c>
      <c r="K3" s="63" t="s">
        <v>62</v>
      </c>
      <c r="L3" s="63" t="s">
        <v>57</v>
      </c>
      <c r="M3" s="63" t="s">
        <v>58</v>
      </c>
    </row>
    <row r="4" spans="1:13">
      <c r="F4">
        <v>100</v>
      </c>
      <c r="G4">
        <v>1000</v>
      </c>
      <c r="H4">
        <v>102</v>
      </c>
      <c r="I4">
        <f>IF(ABS(F4*G4*0.001425)*B1/10&lt;20,20*2,ABS(F4*G4*0.001425)*B1/10*2)</f>
        <v>40</v>
      </c>
      <c r="J4">
        <f>IF(ISBLANK(F4),"",H4*G4*0.003)</f>
        <v>306</v>
      </c>
      <c r="L4">
        <f>G4*H4-G4*E4-I4-J4</f>
        <v>101654</v>
      </c>
    </row>
  </sheetData>
  <phoneticPr fontId="1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"/>
  <sheetViews>
    <sheetView tabSelected="1" workbookViewId="0">
      <selection activeCell="H2" sqref="H2"/>
    </sheetView>
  </sheetViews>
  <sheetFormatPr defaultRowHeight="15.75"/>
  <cols>
    <col min="1" max="6" width="11.28515625" bestFit="1" customWidth="1"/>
    <col min="7" max="8" width="11.28515625" customWidth="1"/>
    <col min="9" max="9" width="11.28515625" bestFit="1" customWidth="1"/>
  </cols>
  <sheetData>
    <row r="1" spans="1:9" ht="18">
      <c r="A1" s="63" t="s">
        <v>67</v>
      </c>
      <c r="B1" s="63" t="s">
        <v>68</v>
      </c>
      <c r="C1" s="63" t="s">
        <v>69</v>
      </c>
      <c r="D1" s="63" t="s">
        <v>70</v>
      </c>
      <c r="E1" s="63" t="s">
        <v>71</v>
      </c>
      <c r="F1" s="63" t="s">
        <v>72</v>
      </c>
      <c r="G1" s="63" t="s">
        <v>75</v>
      </c>
      <c r="H1" s="63" t="s">
        <v>74</v>
      </c>
      <c r="I1" s="63" t="s">
        <v>73</v>
      </c>
    </row>
    <row r="2" spans="1:9">
      <c r="H2" t="e">
        <f>G2*12/D2</f>
        <v>#DIV/0!</v>
      </c>
    </row>
  </sheetData>
  <phoneticPr fontId="1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帳戶理財範例</vt:lpstr>
      <vt:lpstr>空白表格</vt:lpstr>
      <vt:lpstr>預算編列</vt:lpstr>
      <vt:lpstr>股票帳本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隔壁表哥</dc:creator>
  <cp:lastModifiedBy>Chengen Wu</cp:lastModifiedBy>
  <dcterms:created xsi:type="dcterms:W3CDTF">2019-11-16T14:22:00Z</dcterms:created>
  <dcterms:modified xsi:type="dcterms:W3CDTF">2020-10-30T22:06:03Z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2052-11.1.0.9141</vt:lpwstr>
  </property>
</Properties>
</file>