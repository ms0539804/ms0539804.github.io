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Page\ms0539804git.github.io\source\download\"/>
    </mc:Choice>
  </mc:AlternateContent>
  <bookViews>
    <workbookView xWindow="0" yWindow="0" windowWidth="20490" windowHeight="7620" activeTab="1"/>
  </bookViews>
  <sheets>
    <sheet name="【台灣】陸股ETF標的估值" sheetId="2" r:id="rId1"/>
    <sheet name="【大陸】陸股ETF標的估值" sheetId="1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U17" i="1" l="1"/>
  <c r="U16" i="1"/>
  <c r="U15" i="1"/>
  <c r="U14" i="1"/>
  <c r="U13" i="1"/>
  <c r="U12" i="1"/>
  <c r="U11" i="1"/>
  <c r="U10" i="1"/>
  <c r="U9" i="1"/>
  <c r="U8" i="1"/>
  <c r="U7" i="1"/>
  <c r="U6" i="1"/>
  <c r="U5" i="1"/>
  <c r="U4" i="1"/>
</calcChain>
</file>

<file path=xl/sharedStrings.xml><?xml version="1.0" encoding="utf-8"?>
<sst xmlns="http://schemas.openxmlformats.org/spreadsheetml/2006/main" count="175" uniqueCount="119">
  <si>
    <t>11月初行業估值</t>
    <phoneticPr fontId="4" type="noConversion"/>
  </si>
  <si>
    <t>行業</t>
  </si>
  <si>
    <t>PE</t>
  </si>
  <si>
    <t>PE位置</t>
  </si>
  <si>
    <t>PB</t>
  </si>
  <si>
    <t>PB位置</t>
  </si>
  <si>
    <t>Q2ROE</t>
    <phoneticPr fontId="4" type="noConversion"/>
  </si>
  <si>
    <t>Yield</t>
  </si>
  <si>
    <t>標的</t>
  </si>
  <si>
    <t>名稱</t>
  </si>
  <si>
    <t>ETF</t>
  </si>
  <si>
    <t>管理費率</t>
  </si>
  <si>
    <t>託管費率</t>
  </si>
  <si>
    <t>總和</t>
  </si>
  <si>
    <t>ROE(%)</t>
  </si>
  <si>
    <t>ETF名稱</t>
    <phoneticPr fontId="4" type="noConversion"/>
  </si>
  <si>
    <t>代號</t>
    <phoneticPr fontId="4" type="noConversion"/>
  </si>
  <si>
    <t>PE</t>
    <phoneticPr fontId="4" type="noConversion"/>
  </si>
  <si>
    <t>標的指數</t>
    <phoneticPr fontId="4" type="noConversion"/>
  </si>
  <si>
    <t>上證50</t>
  </si>
  <si>
    <t>000016</t>
  </si>
  <si>
    <t>上證紅利</t>
  </si>
  <si>
    <t>000015</t>
    <phoneticPr fontId="4" type="noConversion"/>
  </si>
  <si>
    <t>元大寶滬深</t>
    <phoneticPr fontId="4" type="noConversion"/>
  </si>
  <si>
    <t>0061</t>
    <phoneticPr fontId="4" type="noConversion"/>
  </si>
  <si>
    <t>滬深300</t>
    <phoneticPr fontId="4" type="noConversion"/>
  </si>
  <si>
    <t>滬深300</t>
  </si>
  <si>
    <t>000300</t>
  </si>
  <si>
    <t>50AH優選</t>
  </si>
  <si>
    <t>000170</t>
    <phoneticPr fontId="4" type="noConversion"/>
  </si>
  <si>
    <t>富邦上證</t>
    <phoneticPr fontId="4" type="noConversion"/>
  </si>
  <si>
    <t>006205</t>
    <phoneticPr fontId="4" type="noConversion"/>
  </si>
  <si>
    <t>上證180</t>
    <phoneticPr fontId="4" type="noConversion"/>
  </si>
  <si>
    <t>中證500</t>
  </si>
  <si>
    <t>000905</t>
  </si>
  <si>
    <t>基本面50</t>
  </si>
  <si>
    <t>000925</t>
    <phoneticPr fontId="4" type="noConversion"/>
  </si>
  <si>
    <t>元大上證50</t>
    <phoneticPr fontId="4" type="noConversion"/>
  </si>
  <si>
    <t>006206</t>
    <phoneticPr fontId="4" type="noConversion"/>
  </si>
  <si>
    <t>上證50</t>
    <phoneticPr fontId="4" type="noConversion"/>
  </si>
  <si>
    <t>創業100</t>
  </si>
  <si>
    <t>399006</t>
  </si>
  <si>
    <t>中證紅利</t>
  </si>
  <si>
    <t>000922</t>
    <phoneticPr fontId="4" type="noConversion"/>
  </si>
  <si>
    <t>富邦深100</t>
    <phoneticPr fontId="4" type="noConversion"/>
  </si>
  <si>
    <t>00639</t>
    <phoneticPr fontId="4" type="noConversion"/>
  </si>
  <si>
    <t>深圳100</t>
    <phoneticPr fontId="4" type="noConversion"/>
  </si>
  <si>
    <t>恒生指數</t>
  </si>
  <si>
    <t>HSI</t>
  </si>
  <si>
    <t>000016</t>
    <phoneticPr fontId="4" type="noConversion"/>
  </si>
  <si>
    <t>群益深證中小</t>
    <phoneticPr fontId="4" type="noConversion"/>
  </si>
  <si>
    <t>00643</t>
    <phoneticPr fontId="4" type="noConversion"/>
  </si>
  <si>
    <t>中小板</t>
    <phoneticPr fontId="4" type="noConversion"/>
  </si>
  <si>
    <t>銀行</t>
  </si>
  <si>
    <t>399986</t>
  </si>
  <si>
    <t>399986</t>
    <phoneticPr fontId="4" type="noConversion"/>
  </si>
  <si>
    <t>富邦恒生國企</t>
  </si>
  <si>
    <t>00700</t>
    <phoneticPr fontId="4" type="noConversion"/>
  </si>
  <si>
    <t>-</t>
    <phoneticPr fontId="4" type="noConversion"/>
  </si>
  <si>
    <t>恒生中國企業指數</t>
  </si>
  <si>
    <t>證券</t>
  </si>
  <si>
    <t>399975</t>
  </si>
  <si>
    <t>中證消費</t>
  </si>
  <si>
    <t>000932</t>
    <phoneticPr fontId="4" type="noConversion"/>
  </si>
  <si>
    <t>399975</t>
    <phoneticPr fontId="4" type="noConversion"/>
  </si>
  <si>
    <t>元大標普500</t>
    <phoneticPr fontId="4" type="noConversion"/>
  </si>
  <si>
    <t>00646</t>
    <phoneticPr fontId="4" type="noConversion"/>
  </si>
  <si>
    <t>-</t>
  </si>
  <si>
    <t>標普500指數</t>
  </si>
  <si>
    <t>地產</t>
  </si>
  <si>
    <t>000952</t>
  </si>
  <si>
    <t>創業板</t>
  </si>
  <si>
    <t>399006</t>
    <phoneticPr fontId="4" type="noConversion"/>
  </si>
  <si>
    <t>000952</t>
    <phoneticPr fontId="4" type="noConversion"/>
  </si>
  <si>
    <t>Vanguard S&amp;P 500 ETF</t>
  </si>
  <si>
    <t>VOO</t>
    <phoneticPr fontId="4" type="noConversion"/>
  </si>
  <si>
    <t>基建工程</t>
  </si>
  <si>
    <t>399995</t>
  </si>
  <si>
    <t>上證180</t>
  </si>
  <si>
    <t>000010</t>
    <phoneticPr fontId="4" type="noConversion"/>
  </si>
  <si>
    <t>399995</t>
    <phoneticPr fontId="4" type="noConversion"/>
  </si>
  <si>
    <t>Vanguard Total Stock Market ETF</t>
  </si>
  <si>
    <t>VTI</t>
    <phoneticPr fontId="4" type="noConversion"/>
  </si>
  <si>
    <t>全市場指數</t>
    <phoneticPr fontId="4" type="noConversion"/>
  </si>
  <si>
    <t>消費</t>
  </si>
  <si>
    <t>000036</t>
  </si>
  <si>
    <t>全指醫藥</t>
  </si>
  <si>
    <t>000991</t>
    <phoneticPr fontId="4" type="noConversion"/>
  </si>
  <si>
    <t>000036</t>
    <phoneticPr fontId="4" type="noConversion"/>
  </si>
  <si>
    <t>Vanguard Total World Stock ETF</t>
  </si>
  <si>
    <t>VT</t>
    <phoneticPr fontId="4" type="noConversion"/>
  </si>
  <si>
    <t>全世界指數</t>
    <phoneticPr fontId="4" type="noConversion"/>
  </si>
  <si>
    <t>食品飲料</t>
  </si>
  <si>
    <t>000807</t>
  </si>
  <si>
    <t>深證100</t>
  </si>
  <si>
    <t>399330</t>
    <phoneticPr fontId="4" type="noConversion"/>
  </si>
  <si>
    <t>000807</t>
    <phoneticPr fontId="4" type="noConversion"/>
  </si>
  <si>
    <t>Invesco QQQ Trust</t>
  </si>
  <si>
    <t>QQQ</t>
    <phoneticPr fontId="4" type="noConversion"/>
  </si>
  <si>
    <t>那斯達克100</t>
    <phoneticPr fontId="4" type="noConversion"/>
  </si>
  <si>
    <t>養老</t>
  </si>
  <si>
    <t>399812</t>
  </si>
  <si>
    <t>HSI</t>
    <phoneticPr fontId="4" type="noConversion"/>
  </si>
  <si>
    <t>399812</t>
    <phoneticPr fontId="4" type="noConversion"/>
  </si>
  <si>
    <t>軍工</t>
  </si>
  <si>
    <t>399967</t>
  </si>
  <si>
    <t>可選消費</t>
  </si>
  <si>
    <t>000989</t>
    <phoneticPr fontId="4" type="noConversion"/>
  </si>
  <si>
    <t>399967</t>
    <phoneticPr fontId="4" type="noConversion"/>
  </si>
  <si>
    <t>有色</t>
  </si>
  <si>
    <t>399395</t>
  </si>
  <si>
    <t>000905</t>
    <phoneticPr fontId="4" type="noConversion"/>
  </si>
  <si>
    <t>399395</t>
    <phoneticPr fontId="4" type="noConversion"/>
  </si>
  <si>
    <t>醫療</t>
  </si>
  <si>
    <t>399989</t>
  </si>
  <si>
    <t>399989</t>
    <phoneticPr fontId="4" type="noConversion"/>
  </si>
  <si>
    <t>電腦</t>
  </si>
  <si>
    <t>399363</t>
  </si>
  <si>
    <t>399363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</si>
</sst>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0.000"/>
    <numFmt numFmtId="177" formatCode="0.000_ "/>
  </numFmts>
  <fonts count="5">
    <font>
      <sz val="11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  <scheme val="minor"/>
    </font>
    <font>
      <sz val="11"/>
      <color theme="1"/>
      <name val="黑体"/>
      <family val="3"/>
      <charset val="134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30">
    <xf numFmtId="0" fontId="0" fillId="0" borderId="0" xfId="0">
      <alignment vertical="center"/>
    </xf>
    <xf numFmtId="0" fontId="2" fillId="0" borderId="1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0" fillId="0" borderId="0" xfId="0" applyFont="1" applyFill="1" applyAlignment="1">
      <alignment vertical="center"/>
    </xf>
    <xf numFmtId="0" fontId="2" fillId="0" borderId="4" xfId="0" applyFont="1" applyFill="1" applyBorder="1" applyAlignment="1">
      <alignment horizontal="center" vertical="center"/>
    </xf>
    <xf numFmtId="0" fontId="2" fillId="0" borderId="4" xfId="1" applyNumberFormat="1" applyFont="1" applyBorder="1" applyAlignment="1">
      <alignment horizontal="center" vertical="center"/>
    </xf>
    <xf numFmtId="0" fontId="2" fillId="0" borderId="5" xfId="0" applyFont="1" applyFill="1" applyBorder="1" applyAlignment="1">
      <alignment horizontal="center" vertical="center"/>
    </xf>
    <xf numFmtId="10" fontId="2" fillId="0" borderId="5" xfId="1" applyNumberFormat="1" applyFont="1" applyBorder="1" applyAlignment="1">
      <alignment horizontal="center" vertical="center"/>
    </xf>
    <xf numFmtId="0" fontId="2" fillId="0" borderId="5" xfId="1" quotePrefix="1" applyNumberFormat="1" applyFont="1" applyBorder="1" applyAlignment="1">
      <alignment horizontal="center" vertical="center"/>
    </xf>
    <xf numFmtId="0" fontId="2" fillId="0" borderId="6" xfId="0" applyFont="1" applyFill="1" applyBorder="1" applyAlignment="1">
      <alignment horizontal="center" vertical="center"/>
    </xf>
    <xf numFmtId="10" fontId="2" fillId="0" borderId="6" xfId="1" applyNumberFormat="1" applyFont="1" applyBorder="1" applyAlignment="1">
      <alignment horizontal="center" vertical="center"/>
    </xf>
    <xf numFmtId="0" fontId="2" fillId="0" borderId="5" xfId="0" quotePrefix="1" applyFont="1" applyFill="1" applyBorder="1" applyAlignment="1">
      <alignment horizontal="center" vertical="center"/>
    </xf>
    <xf numFmtId="10" fontId="2" fillId="0" borderId="5" xfId="0" applyNumberFormat="1" applyFont="1" applyFill="1" applyBorder="1" applyAlignment="1">
      <alignment horizontal="center" vertical="center"/>
    </xf>
    <xf numFmtId="0" fontId="2" fillId="0" borderId="5" xfId="1" quotePrefix="1" applyNumberFormat="1" applyFont="1" applyBorder="1" applyAlignment="1">
      <alignment horizontal="center" vertical="center" wrapText="1"/>
    </xf>
    <xf numFmtId="0" fontId="2" fillId="0" borderId="5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/>
    </xf>
    <xf numFmtId="0" fontId="2" fillId="0" borderId="7" xfId="0" quotePrefix="1" applyFont="1" applyFill="1" applyBorder="1" applyAlignment="1">
      <alignment horizontal="center" vertical="center"/>
    </xf>
    <xf numFmtId="10" fontId="2" fillId="0" borderId="7" xfId="1" applyNumberFormat="1" applyFont="1" applyBorder="1" applyAlignment="1">
      <alignment horizontal="center" vertical="center"/>
    </xf>
    <xf numFmtId="0" fontId="2" fillId="0" borderId="7" xfId="1" quotePrefix="1" applyNumberFormat="1" applyFont="1" applyBorder="1" applyAlignment="1">
      <alignment horizontal="center" vertical="center"/>
    </xf>
    <xf numFmtId="10" fontId="2" fillId="0" borderId="7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10" fontId="2" fillId="0" borderId="0" xfId="1" applyNumberFormat="1" applyFont="1" applyBorder="1" applyAlignment="1">
      <alignment horizontal="center" vertical="center"/>
    </xf>
    <xf numFmtId="0" fontId="2" fillId="0" borderId="0" xfId="1" quotePrefix="1" applyNumberFormat="1" applyFont="1" applyBorder="1" applyAlignment="1">
      <alignment horizontal="center" vertical="center"/>
    </xf>
    <xf numFmtId="0" fontId="0" fillId="0" borderId="0" xfId="0" applyFont="1" applyFill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0" borderId="0" xfId="1" applyNumberFormat="1" applyFont="1" applyAlignment="1">
      <alignment horizontal="center" vertical="center"/>
    </xf>
    <xf numFmtId="10" fontId="0" fillId="0" borderId="0" xfId="1" applyNumberFormat="1" applyFont="1">
      <alignment vertical="center"/>
    </xf>
    <xf numFmtId="176" fontId="0" fillId="0" borderId="0" xfId="0" applyNumberFormat="1" applyFont="1" applyFill="1" applyAlignment="1">
      <alignment vertical="center"/>
    </xf>
    <xf numFmtId="177" fontId="0" fillId="0" borderId="0" xfId="0" applyNumberFormat="1" applyFont="1" applyFill="1" applyAlignment="1">
      <alignment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542925</xdr:colOff>
      <xdr:row>13</xdr:row>
      <xdr:rowOff>28575</xdr:rowOff>
    </xdr:from>
    <xdr:to>
      <xdr:col>10</xdr:col>
      <xdr:colOff>18415</xdr:colOff>
      <xdr:row>14</xdr:row>
      <xdr:rowOff>80010</xdr:rowOff>
    </xdr:to>
    <xdr:sp macro="" textlink="">
      <xdr:nvSpPr>
        <xdr:cNvPr id="2" name="矩形 2"/>
        <xdr:cNvSpPr/>
      </xdr:nvSpPr>
      <xdr:spPr>
        <a:xfrm>
          <a:off x="22393275" y="2828925"/>
          <a:ext cx="1837690" cy="251460"/>
        </a:xfrm>
        <a:prstGeom prst="rect">
          <a:avLst/>
        </a:prstGeom>
        <a:solidFill>
          <a:srgbClr val="0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>
          <a:defPPr>
            <a:defRPr lang="zh-TW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50" dirty="0" smtClean="0">
              <a:solidFill>
                <a:schemeClr val="bg1"/>
              </a:solidFill>
              <a:latin typeface="微软雅黑" panose="020B0503020204020204" pitchFamily="34" charset="-122"/>
              <a:ea typeface="微软雅黑" panose="020B0503020204020204" pitchFamily="34" charset="-122"/>
            </a:rPr>
            <a:t>隔壁表哥-輕鬆理財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333375</xdr:colOff>
      <xdr:row>17</xdr:row>
      <xdr:rowOff>32385</xdr:rowOff>
    </xdr:from>
    <xdr:to>
      <xdr:col>21</xdr:col>
      <xdr:colOff>8890</xdr:colOff>
      <xdr:row>18</xdr:row>
      <xdr:rowOff>83820</xdr:rowOff>
    </xdr:to>
    <xdr:sp macro="" textlink="">
      <xdr:nvSpPr>
        <xdr:cNvPr id="2" name="矩形 2"/>
        <xdr:cNvSpPr/>
      </xdr:nvSpPr>
      <xdr:spPr>
        <a:xfrm>
          <a:off x="9677400" y="3861435"/>
          <a:ext cx="1475740" cy="251460"/>
        </a:xfrm>
        <a:prstGeom prst="rect">
          <a:avLst/>
        </a:prstGeom>
        <a:solidFill>
          <a:srgbClr val="0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>
          <a:defPPr>
            <a:defRPr lang="zh-TW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50" dirty="0" smtClean="0">
              <a:solidFill>
                <a:schemeClr val="bg1"/>
              </a:solidFill>
              <a:latin typeface="微软雅黑" panose="020B0503020204020204" pitchFamily="34" charset="-122"/>
              <a:ea typeface="微软雅黑" panose="020B0503020204020204" pitchFamily="34" charset="-122"/>
            </a:rPr>
            <a:t>隔壁表哥-輕鬆理財</a:t>
          </a:r>
        </a:p>
      </xdr:txBody>
    </xdr:sp>
    <xdr:clientData/>
  </xdr:twoCellAnchor>
  <xdr:twoCellAnchor>
    <xdr:from>
      <xdr:col>28</xdr:col>
      <xdr:colOff>333375</xdr:colOff>
      <xdr:row>19</xdr:row>
      <xdr:rowOff>28575</xdr:rowOff>
    </xdr:from>
    <xdr:to>
      <xdr:col>31</xdr:col>
      <xdr:colOff>8890</xdr:colOff>
      <xdr:row>20</xdr:row>
      <xdr:rowOff>80010</xdr:rowOff>
    </xdr:to>
    <xdr:sp macro="" textlink="">
      <xdr:nvSpPr>
        <xdr:cNvPr id="3" name="矩形 2"/>
        <xdr:cNvSpPr/>
      </xdr:nvSpPr>
      <xdr:spPr>
        <a:xfrm>
          <a:off x="15087600" y="4257675"/>
          <a:ext cx="1475740" cy="251460"/>
        </a:xfrm>
        <a:prstGeom prst="rect">
          <a:avLst/>
        </a:prstGeom>
        <a:solidFill>
          <a:srgbClr val="00000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rtlCol="0" anchor="ctr"/>
        <a:lstStyle>
          <a:defPPr>
            <a:defRPr lang="zh-TW">
              <a:solidFill>
                <a:schemeClr val="lt1"/>
              </a:solidFill>
            </a:defRPr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zh-CN" altLang="en-US" sz="1050" dirty="0" smtClean="0">
              <a:solidFill>
                <a:schemeClr val="bg1"/>
              </a:solidFill>
              <a:latin typeface="微软雅黑" panose="020B0503020204020204" pitchFamily="34" charset="-122"/>
              <a:ea typeface="微软雅黑" panose="020B0503020204020204" pitchFamily="34" charset="-122"/>
            </a:rPr>
            <a:t>隔壁表哥-輕鬆理財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5"/>
  <sheetViews>
    <sheetView workbookViewId="0">
      <selection activeCell="E13" sqref="E13"/>
    </sheetView>
  </sheetViews>
  <sheetFormatPr defaultRowHeight="15.75"/>
  <cols>
    <col min="1" max="1" width="2.85546875" customWidth="1"/>
    <col min="2" max="2" width="22.5703125" bestFit="1" customWidth="1"/>
    <col min="10" max="10" width="21" bestFit="1" customWidth="1"/>
    <col min="11" max="11" width="2.85546875" customWidth="1"/>
  </cols>
  <sheetData>
    <row r="1" spans="1:11">
      <c r="A1" s="4"/>
      <c r="B1" s="4"/>
      <c r="C1" s="4"/>
      <c r="D1" s="4"/>
      <c r="E1" s="4"/>
      <c r="F1" s="4"/>
      <c r="G1" s="4"/>
      <c r="H1" s="4"/>
      <c r="I1" s="4"/>
      <c r="J1" s="4"/>
      <c r="K1" s="4"/>
    </row>
    <row r="2" spans="1:11">
      <c r="A2" s="4"/>
      <c r="B2" s="5" t="s">
        <v>15</v>
      </c>
      <c r="C2" s="5" t="s">
        <v>16</v>
      </c>
      <c r="D2" s="5" t="s">
        <v>17</v>
      </c>
      <c r="E2" s="5" t="s">
        <v>3</v>
      </c>
      <c r="F2" s="5" t="s">
        <v>4</v>
      </c>
      <c r="G2" s="5" t="s">
        <v>5</v>
      </c>
      <c r="H2" s="5" t="s">
        <v>6</v>
      </c>
      <c r="I2" s="5" t="s">
        <v>7</v>
      </c>
      <c r="J2" s="5" t="s">
        <v>18</v>
      </c>
      <c r="K2" s="4"/>
    </row>
    <row r="3" spans="1:11">
      <c r="A3" s="4"/>
      <c r="B3" s="7" t="s">
        <v>23</v>
      </c>
      <c r="C3" s="12" t="s">
        <v>24</v>
      </c>
      <c r="D3" s="7">
        <v>14.35</v>
      </c>
      <c r="E3" s="8">
        <v>0.86229999999999996</v>
      </c>
      <c r="F3" s="7">
        <v>1.58</v>
      </c>
      <c r="G3" s="8">
        <v>0.56830000000000003</v>
      </c>
      <c r="H3" s="8">
        <v>4.8899999999999999E-2</v>
      </c>
      <c r="I3" s="8">
        <v>2.4E-2</v>
      </c>
      <c r="J3" s="9" t="s">
        <v>25</v>
      </c>
      <c r="K3" s="4"/>
    </row>
    <row r="4" spans="1:11">
      <c r="A4" s="4"/>
      <c r="B4" s="7" t="s">
        <v>30</v>
      </c>
      <c r="C4" s="12" t="s">
        <v>31</v>
      </c>
      <c r="D4" s="7">
        <v>12.13</v>
      </c>
      <c r="E4" s="8">
        <v>0.78620000000000001</v>
      </c>
      <c r="F4" s="7">
        <v>1.3</v>
      </c>
      <c r="G4" s="8">
        <v>0.30020000000000002</v>
      </c>
      <c r="H4" s="8">
        <v>4.8099999999999997E-2</v>
      </c>
      <c r="I4" s="8">
        <v>2.8799999999999999E-2</v>
      </c>
      <c r="J4" s="9" t="s">
        <v>32</v>
      </c>
      <c r="K4" s="4"/>
    </row>
    <row r="5" spans="1:11">
      <c r="A5" s="4"/>
      <c r="B5" s="7" t="s">
        <v>37</v>
      </c>
      <c r="C5" s="12" t="s">
        <v>38</v>
      </c>
      <c r="D5" s="7">
        <v>11.36</v>
      </c>
      <c r="E5" s="8">
        <v>0.81169999999999998</v>
      </c>
      <c r="F5" s="7">
        <v>1.25</v>
      </c>
      <c r="G5" s="8">
        <v>0.4289</v>
      </c>
      <c r="H5" s="8">
        <v>4.5999999999999999E-2</v>
      </c>
      <c r="I5" s="8">
        <v>3.1099999999999999E-2</v>
      </c>
      <c r="J5" s="9" t="s">
        <v>39</v>
      </c>
      <c r="K5" s="4"/>
    </row>
    <row r="6" spans="1:11">
      <c r="A6" s="4"/>
      <c r="B6" s="7" t="s">
        <v>44</v>
      </c>
      <c r="C6" s="12" t="s">
        <v>45</v>
      </c>
      <c r="D6" s="7">
        <v>63.29</v>
      </c>
      <c r="E6" s="8">
        <v>0.81659999999999999</v>
      </c>
      <c r="F6" s="7">
        <v>7.43</v>
      </c>
      <c r="G6" s="8">
        <v>0.88529999999999998</v>
      </c>
      <c r="H6" s="8">
        <v>6.5799999999999997E-2</v>
      </c>
      <c r="I6" s="8">
        <v>4.5999999999999999E-3</v>
      </c>
      <c r="J6" s="9" t="s">
        <v>46</v>
      </c>
      <c r="K6" s="4"/>
    </row>
    <row r="7" spans="1:11">
      <c r="A7" s="4"/>
      <c r="B7" s="7" t="s">
        <v>50</v>
      </c>
      <c r="C7" s="12" t="s">
        <v>51</v>
      </c>
      <c r="D7" s="7">
        <v>33.64</v>
      </c>
      <c r="E7" s="8">
        <v>0.70020000000000004</v>
      </c>
      <c r="F7" s="7">
        <v>4.3</v>
      </c>
      <c r="G7" s="8">
        <v>0.66900000000000004</v>
      </c>
      <c r="H7" s="13">
        <v>6.3200000000000006E-2</v>
      </c>
      <c r="I7" s="8">
        <v>8.5000000000000006E-3</v>
      </c>
      <c r="J7" s="9" t="s">
        <v>52</v>
      </c>
      <c r="K7" s="4"/>
    </row>
    <row r="8" spans="1:11">
      <c r="A8" s="4"/>
      <c r="B8" s="7" t="s">
        <v>56</v>
      </c>
      <c r="C8" s="12" t="s">
        <v>57</v>
      </c>
      <c r="D8" s="7">
        <v>11.51</v>
      </c>
      <c r="E8" s="8">
        <v>0.93259999999999998</v>
      </c>
      <c r="F8" s="7">
        <v>1.26</v>
      </c>
      <c r="G8" s="8">
        <v>0.72060000000000002</v>
      </c>
      <c r="H8" s="7" t="s">
        <v>58</v>
      </c>
      <c r="I8" s="8">
        <v>2.8799999999999999E-2</v>
      </c>
      <c r="J8" s="9" t="s">
        <v>59</v>
      </c>
      <c r="K8" s="4"/>
    </row>
    <row r="9" spans="1:11">
      <c r="A9" s="4"/>
      <c r="B9" s="7" t="s">
        <v>65</v>
      </c>
      <c r="C9" s="12" t="s">
        <v>66</v>
      </c>
      <c r="D9" s="7">
        <v>31.7</v>
      </c>
      <c r="E9" s="7">
        <v>0.9758</v>
      </c>
      <c r="F9" s="7">
        <v>3.6</v>
      </c>
      <c r="G9" s="7">
        <v>0.95069999999999999</v>
      </c>
      <c r="H9" s="7" t="s">
        <v>67</v>
      </c>
      <c r="I9" s="8">
        <v>1.7000000000000001E-2</v>
      </c>
      <c r="J9" s="7" t="s">
        <v>68</v>
      </c>
      <c r="K9" s="4"/>
    </row>
    <row r="10" spans="1:11" ht="40.5">
      <c r="A10" s="4"/>
      <c r="B10" s="14" t="s">
        <v>74</v>
      </c>
      <c r="C10" s="7" t="s">
        <v>75</v>
      </c>
      <c r="D10" s="7">
        <v>33.85</v>
      </c>
      <c r="E10" s="8" t="s">
        <v>58</v>
      </c>
      <c r="F10" s="7">
        <v>3.78</v>
      </c>
      <c r="G10" s="8" t="s">
        <v>58</v>
      </c>
      <c r="H10" s="7" t="s">
        <v>58</v>
      </c>
      <c r="I10" s="8">
        <v>1.7399999999999999E-2</v>
      </c>
      <c r="J10" s="9" t="s">
        <v>68</v>
      </c>
      <c r="K10" s="4"/>
    </row>
    <row r="11" spans="1:11" ht="67.5">
      <c r="A11" s="4"/>
      <c r="B11" s="15" t="s">
        <v>81</v>
      </c>
      <c r="C11" s="12" t="s">
        <v>82</v>
      </c>
      <c r="D11" s="7">
        <v>44.18</v>
      </c>
      <c r="E11" s="8" t="s">
        <v>58</v>
      </c>
      <c r="F11" s="7">
        <v>3.56</v>
      </c>
      <c r="G11" s="8" t="s">
        <v>58</v>
      </c>
      <c r="H11" s="7" t="s">
        <v>58</v>
      </c>
      <c r="I11" s="8">
        <v>1.66E-2</v>
      </c>
      <c r="J11" s="9" t="s">
        <v>83</v>
      </c>
      <c r="K11" s="4"/>
    </row>
    <row r="12" spans="1:11" ht="67.5">
      <c r="A12" s="4"/>
      <c r="B12" s="15" t="s">
        <v>89</v>
      </c>
      <c r="C12" s="15" t="s">
        <v>90</v>
      </c>
      <c r="D12" s="15">
        <v>34.5</v>
      </c>
      <c r="E12" s="15" t="s">
        <v>58</v>
      </c>
      <c r="F12" s="15">
        <v>2.31</v>
      </c>
      <c r="G12" s="15" t="s">
        <v>58</v>
      </c>
      <c r="H12" s="15" t="s">
        <v>58</v>
      </c>
      <c r="I12" s="8">
        <v>2.1499999999999998E-2</v>
      </c>
      <c r="J12" s="15" t="s">
        <v>91</v>
      </c>
      <c r="K12" s="4"/>
    </row>
    <row r="13" spans="1:11">
      <c r="A13" s="4"/>
      <c r="B13" s="16" t="s">
        <v>97</v>
      </c>
      <c r="C13" s="17" t="s">
        <v>98</v>
      </c>
      <c r="D13" s="16">
        <v>39.549999999999997</v>
      </c>
      <c r="E13" s="18" t="s">
        <v>58</v>
      </c>
      <c r="F13" s="16">
        <v>8.17</v>
      </c>
      <c r="G13" s="18" t="s">
        <v>58</v>
      </c>
      <c r="H13" s="16" t="s">
        <v>58</v>
      </c>
      <c r="I13" s="18">
        <v>7.4999999999999997E-3</v>
      </c>
      <c r="J13" s="19" t="s">
        <v>99</v>
      </c>
      <c r="K13" s="4"/>
    </row>
    <row r="14" spans="1:11">
      <c r="A14" s="4"/>
      <c r="B14" s="4"/>
      <c r="C14" s="4"/>
      <c r="D14" s="4"/>
      <c r="E14" s="4"/>
      <c r="F14" s="4"/>
      <c r="G14" s="4"/>
      <c r="H14" s="4"/>
      <c r="I14" s="4"/>
      <c r="J14" s="4"/>
      <c r="K14" s="4"/>
    </row>
    <row r="15" spans="1:1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</row>
  </sheetData>
  <phoneticPr fontId="3" type="noConversion"/>
  <conditionalFormatting sqref="E3:E7">
    <cfRule type="colorScale" priority="6">
      <colorScale>
        <cfvo type="min"/>
        <cfvo type="max"/>
        <color rgb="FFFCFCFF"/>
        <color rgb="FFF8696B"/>
      </colorScale>
    </cfRule>
  </conditionalFormatting>
  <conditionalFormatting sqref="G3:G7">
    <cfRule type="colorScale" priority="7">
      <colorScale>
        <cfvo type="min"/>
        <cfvo type="max"/>
        <color rgb="FFFCFCFF"/>
        <color rgb="FFF8696B"/>
      </colorScale>
    </cfRule>
  </conditionalFormatting>
  <conditionalFormatting sqref="H3:H7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{8ABF546F-174E-4C5D-8C90-803253827E3B}</x14:id>
        </ext>
      </extLst>
    </cfRule>
  </conditionalFormatting>
  <conditionalFormatting sqref="E8">
    <cfRule type="colorScale" priority="2">
      <colorScale>
        <cfvo type="min"/>
        <cfvo type="max"/>
        <color rgb="FFFCFCFF"/>
        <color rgb="FFF8696B"/>
      </colorScale>
    </cfRule>
  </conditionalFormatting>
  <conditionalFormatting sqref="G8">
    <cfRule type="colorScale" priority="3">
      <colorScale>
        <cfvo type="min"/>
        <cfvo type="max"/>
        <color rgb="FFFCFCFF"/>
        <color rgb="FFF8696B"/>
      </colorScale>
    </cfRule>
  </conditionalFormatting>
  <conditionalFormatting sqref="H8">
    <cfRule type="dataBar" priority="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{7033715F-18EF-4A78-8DD2-CC6CD22DFDFB}</x14:id>
        </ext>
      </extLst>
    </cfRule>
  </conditionalFormatting>
  <conditionalFormatting sqref="I8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{82559E4E-3A85-4636-9AE2-6E4FB100ED1F}</x14:id>
        </ext>
      </extLst>
    </cfRule>
  </conditionalFormatting>
  <conditionalFormatting sqref="E10:E11 E13">
    <cfRule type="colorScale" priority="9">
      <colorScale>
        <cfvo type="min"/>
        <cfvo type="max"/>
        <color rgb="FFFCFCFF"/>
        <color rgb="FFF8696B"/>
      </colorScale>
    </cfRule>
  </conditionalFormatting>
  <conditionalFormatting sqref="G10:G11 G13">
    <cfRule type="colorScale" priority="10">
      <colorScale>
        <cfvo type="min"/>
        <cfvo type="max"/>
        <color rgb="FFFCFCFF"/>
        <color rgb="FFF8696B"/>
      </colorScale>
    </cfRule>
  </conditionalFormatting>
  <conditionalFormatting sqref="H10:H11 H13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{E22083F8-BDD7-4CC0-980E-81C20A2F5E3E}</x14:id>
        </ext>
      </extLst>
    </cfRule>
  </conditionalFormatting>
  <conditionalFormatting sqref="I10:I11 I13"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{B7909F80-6FE7-460B-9265-7F427B6B0E26}</x14:id>
        </ext>
      </extLst>
    </cfRule>
  </conditionalFormatting>
  <conditionalFormatting sqref="I12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{5A7F29F8-8EF7-4089-9F28-EF3F8F5362FA}</x14:id>
        </ext>
      </extLst>
    </cfRule>
  </conditionalFormatting>
  <conditionalFormatting sqref="I3:I13"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{4D276650-4A16-4551-AD87-4381AE3093E8}</x14:id>
        </ext>
      </extLst>
    </cfRule>
  </conditionalFormatting>
  <pageMargins left="0.7" right="0.7" top="0.75" bottom="0.75" header="0.3" footer="0.3"/>
  <ignoredErrors>
    <ignoredError sqref="C3:C13" numberStoredAsText="1"/>
  </ignoredErrors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BF546F-174E-4C5D-8C90-803253827E3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H3:H7</xm:sqref>
        </x14:conditionalFormatting>
        <x14:conditionalFormatting xmlns:xm="http://schemas.microsoft.com/office/excel/2006/main">
          <x14:cfRule type="dataBar" id="{7033715F-18EF-4A78-8DD2-CC6CD22DFDFB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H8</xm:sqref>
        </x14:conditionalFormatting>
        <x14:conditionalFormatting xmlns:xm="http://schemas.microsoft.com/office/excel/2006/main">
          <x14:cfRule type="dataBar" id="{82559E4E-3A85-4636-9AE2-6E4FB100ED1F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I8</xm:sqref>
        </x14:conditionalFormatting>
        <x14:conditionalFormatting xmlns:xm="http://schemas.microsoft.com/office/excel/2006/main">
          <x14:cfRule type="dataBar" id="{E22083F8-BDD7-4CC0-980E-81C20A2F5E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H10:H11 H13</xm:sqref>
        </x14:conditionalFormatting>
        <x14:conditionalFormatting xmlns:xm="http://schemas.microsoft.com/office/excel/2006/main">
          <x14:cfRule type="dataBar" id="{B7909F80-6FE7-460B-9265-7F427B6B0E26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I10:I11 I13</xm:sqref>
        </x14:conditionalFormatting>
        <x14:conditionalFormatting xmlns:xm="http://schemas.microsoft.com/office/excel/2006/main">
          <x14:cfRule type="dataBar" id="{5A7F29F8-8EF7-4089-9F28-EF3F8F5362F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I12</xm:sqref>
        </x14:conditionalFormatting>
        <x14:conditionalFormatting xmlns:xm="http://schemas.microsoft.com/office/excel/2006/main">
          <x14:cfRule type="dataBar" id="{4D276650-4A16-4551-AD87-4381AE3093E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I3:I13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P70"/>
  <sheetViews>
    <sheetView showGridLines="0" tabSelected="1" workbookViewId="0"/>
  </sheetViews>
  <sheetFormatPr defaultColWidth="9" defaultRowHeight="15.75"/>
  <cols>
    <col min="1" max="1" width="2.85546875" style="4" customWidth="1"/>
    <col min="2" max="2" width="11" style="4" customWidth="1"/>
    <col min="3" max="3" width="9" style="4"/>
    <col min="4" max="5" width="9.42578125" style="4" customWidth="1"/>
    <col min="6" max="6" width="9" style="4"/>
    <col min="7" max="7" width="13.85546875" style="4" hidden="1" customWidth="1"/>
    <col min="8" max="9" width="2.85546875" style="4" customWidth="1"/>
    <col min="10" max="10" width="11" style="4" customWidth="1"/>
    <col min="11" max="13" width="9" style="4"/>
    <col min="14" max="14" width="9.7109375" style="4" bestFit="1" customWidth="1"/>
    <col min="15" max="21" width="9" style="4"/>
    <col min="22" max="23" width="2.85546875" style="4" customWidth="1"/>
    <col min="24" max="24" width="11" style="4" bestFit="1" customWidth="1"/>
    <col min="25" max="25" width="9" style="4"/>
    <col min="26" max="26" width="9.7109375" style="4" bestFit="1" customWidth="1"/>
    <col min="27" max="27" width="9" style="4"/>
    <col min="28" max="28" width="9.7109375" style="4" bestFit="1" customWidth="1"/>
    <col min="29" max="31" width="9" style="4"/>
    <col min="32" max="33" width="2.85546875" style="4" customWidth="1"/>
    <col min="34" max="34" width="19.7109375" style="4" customWidth="1"/>
    <col min="35" max="41" width="9" style="4"/>
    <col min="42" max="42" width="26.42578125" style="4" bestFit="1" customWidth="1"/>
    <col min="43" max="43" width="2.85546875" style="4" customWidth="1"/>
    <col min="44" max="16384" width="9" style="4"/>
  </cols>
  <sheetData>
    <row r="2" spans="2:31">
      <c r="B2" s="1" t="s">
        <v>0</v>
      </c>
      <c r="C2" s="2"/>
      <c r="D2" s="2"/>
      <c r="E2" s="2"/>
      <c r="F2" s="3"/>
    </row>
    <row r="3" spans="2:31">
      <c r="B3" s="5" t="s">
        <v>1</v>
      </c>
      <c r="C3" s="5" t="s">
        <v>2</v>
      </c>
      <c r="D3" s="5" t="s">
        <v>3</v>
      </c>
      <c r="E3" s="5" t="s">
        <v>6</v>
      </c>
      <c r="F3" s="5" t="s">
        <v>7</v>
      </c>
      <c r="G3" s="5" t="s">
        <v>8</v>
      </c>
      <c r="J3" s="5" t="s">
        <v>9</v>
      </c>
      <c r="K3" s="5" t="s">
        <v>2</v>
      </c>
      <c r="L3" s="5" t="s">
        <v>3</v>
      </c>
      <c r="M3" s="5" t="s">
        <v>4</v>
      </c>
      <c r="N3" s="5" t="s">
        <v>5</v>
      </c>
      <c r="O3" s="5" t="s">
        <v>6</v>
      </c>
      <c r="P3" s="5" t="s">
        <v>7</v>
      </c>
      <c r="Q3" s="6" t="s">
        <v>10</v>
      </c>
      <c r="R3" s="5" t="s">
        <v>8</v>
      </c>
      <c r="S3" s="5" t="s">
        <v>11</v>
      </c>
      <c r="T3" s="5" t="s">
        <v>12</v>
      </c>
      <c r="U3" s="5" t="s">
        <v>13</v>
      </c>
      <c r="X3" s="5" t="s">
        <v>1</v>
      </c>
      <c r="Y3" s="5" t="s">
        <v>2</v>
      </c>
      <c r="Z3" s="5" t="s">
        <v>3</v>
      </c>
      <c r="AA3" s="5" t="s">
        <v>4</v>
      </c>
      <c r="AB3" s="5" t="s">
        <v>5</v>
      </c>
      <c r="AC3" s="5" t="s">
        <v>14</v>
      </c>
      <c r="AD3" s="5" t="s">
        <v>7</v>
      </c>
      <c r="AE3" s="5" t="s">
        <v>8</v>
      </c>
    </row>
    <row r="4" spans="2:31">
      <c r="B4" s="7" t="s">
        <v>19</v>
      </c>
      <c r="C4" s="7">
        <v>11.36</v>
      </c>
      <c r="D4" s="8">
        <v>0.81169999999999998</v>
      </c>
      <c r="E4" s="8">
        <v>4.5999999999999999E-2</v>
      </c>
      <c r="F4" s="8">
        <v>3.1099999999999999E-2</v>
      </c>
      <c r="G4" s="9" t="s">
        <v>20</v>
      </c>
      <c r="J4" s="7" t="s">
        <v>21</v>
      </c>
      <c r="K4" s="7">
        <v>6.84</v>
      </c>
      <c r="L4" s="8">
        <v>0.1706</v>
      </c>
      <c r="M4" s="10">
        <v>0.75</v>
      </c>
      <c r="N4" s="11">
        <v>1.03E-2</v>
      </c>
      <c r="O4" s="11">
        <v>4.9099999999999998E-2</v>
      </c>
      <c r="P4" s="11">
        <v>5.3199999999999997E-2</v>
      </c>
      <c r="Q4" s="7">
        <v>510880</v>
      </c>
      <c r="R4" s="12" t="s">
        <v>22</v>
      </c>
      <c r="S4" s="13">
        <v>5.0000000000000001E-3</v>
      </c>
      <c r="T4" s="13">
        <v>1E-3</v>
      </c>
      <c r="U4" s="13">
        <f t="shared" ref="U4:U17" si="0">S4+T4</f>
        <v>6.0000000000000001E-3</v>
      </c>
      <c r="X4" s="7" t="s">
        <v>19</v>
      </c>
      <c r="Y4" s="7">
        <v>11.36</v>
      </c>
      <c r="Z4" s="8">
        <v>0.81169999999999998</v>
      </c>
      <c r="AA4" s="7">
        <v>1.25</v>
      </c>
      <c r="AB4" s="8">
        <v>0.4289</v>
      </c>
      <c r="AC4" s="8">
        <v>4.5999999999999999E-2</v>
      </c>
      <c r="AD4" s="8">
        <v>3.1099999999999999E-2</v>
      </c>
      <c r="AE4" s="9" t="s">
        <v>20</v>
      </c>
    </row>
    <row r="5" spans="2:31">
      <c r="B5" s="7" t="s">
        <v>26</v>
      </c>
      <c r="C5" s="7">
        <v>14.35</v>
      </c>
      <c r="D5" s="8">
        <v>0.86229999999999996</v>
      </c>
      <c r="E5" s="8">
        <v>4.8899999999999999E-2</v>
      </c>
      <c r="F5" s="8">
        <v>2.4E-2</v>
      </c>
      <c r="G5" s="9" t="s">
        <v>27</v>
      </c>
      <c r="J5" s="7" t="s">
        <v>28</v>
      </c>
      <c r="K5" s="7"/>
      <c r="L5" s="8"/>
      <c r="M5" s="7"/>
      <c r="N5" s="8"/>
      <c r="O5" s="8"/>
      <c r="P5" s="8"/>
      <c r="Q5" s="7">
        <v>501050</v>
      </c>
      <c r="R5" s="12" t="s">
        <v>29</v>
      </c>
      <c r="S5" s="13">
        <v>5.0000000000000001E-3</v>
      </c>
      <c r="T5" s="13">
        <v>1E-3</v>
      </c>
      <c r="U5" s="13">
        <f t="shared" si="0"/>
        <v>6.0000000000000001E-3</v>
      </c>
      <c r="X5" s="7" t="s">
        <v>26</v>
      </c>
      <c r="Y5" s="7">
        <v>14.35</v>
      </c>
      <c r="Z5" s="8">
        <v>0.86229999999999996</v>
      </c>
      <c r="AA5" s="7">
        <v>1.58</v>
      </c>
      <c r="AB5" s="8">
        <v>0.56830000000000003</v>
      </c>
      <c r="AC5" s="8">
        <v>4.8899999999999999E-2</v>
      </c>
      <c r="AD5" s="8">
        <v>2.4E-2</v>
      </c>
      <c r="AE5" s="9" t="s">
        <v>27</v>
      </c>
    </row>
    <row r="6" spans="2:31">
      <c r="B6" s="7" t="s">
        <v>33</v>
      </c>
      <c r="C6" s="7">
        <v>30.28</v>
      </c>
      <c r="D6" s="8">
        <v>0.49049999999999999</v>
      </c>
      <c r="E6" s="8">
        <v>2.75E-2</v>
      </c>
      <c r="F6" s="8">
        <v>1.26E-2</v>
      </c>
      <c r="G6" s="9" t="s">
        <v>34</v>
      </c>
      <c r="J6" s="7" t="s">
        <v>35</v>
      </c>
      <c r="K6" s="7">
        <v>9.9499999999999993</v>
      </c>
      <c r="L6" s="8">
        <v>0.73029999999999995</v>
      </c>
      <c r="M6" s="7">
        <v>1.1100000000000001</v>
      </c>
      <c r="N6" s="8">
        <v>0.1953</v>
      </c>
      <c r="O6" s="8">
        <v>4.8300000000000003E-2</v>
      </c>
      <c r="P6" s="8">
        <v>3.5700000000000003E-2</v>
      </c>
      <c r="Q6" s="7">
        <v>160716</v>
      </c>
      <c r="R6" s="12" t="s">
        <v>36</v>
      </c>
      <c r="S6" s="13">
        <v>0.01</v>
      </c>
      <c r="T6" s="13">
        <v>1.8E-3</v>
      </c>
      <c r="U6" s="13">
        <f t="shared" si="0"/>
        <v>1.18E-2</v>
      </c>
      <c r="X6" s="7" t="s">
        <v>33</v>
      </c>
      <c r="Y6" s="7">
        <v>30.28</v>
      </c>
      <c r="Z6" s="8">
        <v>0.49049999999999999</v>
      </c>
      <c r="AA6" s="7">
        <v>2.04</v>
      </c>
      <c r="AB6" s="8">
        <v>0.20349999999999999</v>
      </c>
      <c r="AC6" s="8">
        <v>2.75E-2</v>
      </c>
      <c r="AD6" s="8">
        <v>1.26E-2</v>
      </c>
      <c r="AE6" s="9" t="s">
        <v>34</v>
      </c>
    </row>
    <row r="7" spans="2:31">
      <c r="B7" s="7" t="s">
        <v>40</v>
      </c>
      <c r="C7" s="7">
        <v>63.29</v>
      </c>
      <c r="D7" s="8">
        <v>0.81659999999999999</v>
      </c>
      <c r="E7" s="8">
        <v>6.5799999999999997E-2</v>
      </c>
      <c r="F7" s="8">
        <v>4.5999999999999999E-3</v>
      </c>
      <c r="G7" s="9" t="s">
        <v>41</v>
      </c>
      <c r="J7" s="7" t="s">
        <v>42</v>
      </c>
      <c r="K7" s="7">
        <v>7.7</v>
      </c>
      <c r="L7" s="8">
        <v>0.23769999999999999</v>
      </c>
      <c r="M7" s="7">
        <v>0.9</v>
      </c>
      <c r="N7" s="8">
        <v>3.1699999999999999E-2</v>
      </c>
      <c r="O7" s="8">
        <v>5.2499999999999998E-2</v>
      </c>
      <c r="P7" s="8">
        <v>4.7E-2</v>
      </c>
      <c r="Q7" s="7">
        <v>161907</v>
      </c>
      <c r="R7" s="12" t="s">
        <v>43</v>
      </c>
      <c r="S7" s="13">
        <v>7.4999999999999997E-3</v>
      </c>
      <c r="T7" s="13">
        <v>1.5E-3</v>
      </c>
      <c r="U7" s="13">
        <f t="shared" si="0"/>
        <v>8.9999999999999993E-3</v>
      </c>
      <c r="X7" s="7" t="s">
        <v>40</v>
      </c>
      <c r="Y7" s="7">
        <v>63.29</v>
      </c>
      <c r="Z7" s="8">
        <v>0.81659999999999999</v>
      </c>
      <c r="AA7" s="7">
        <v>7.43</v>
      </c>
      <c r="AB7" s="8">
        <v>0.88529999999999998</v>
      </c>
      <c r="AC7" s="8">
        <v>6.5799999999999997E-2</v>
      </c>
      <c r="AD7" s="8">
        <v>4.5999999999999999E-3</v>
      </c>
      <c r="AE7" s="9" t="s">
        <v>41</v>
      </c>
    </row>
    <row r="8" spans="2:31">
      <c r="B8" s="7" t="s">
        <v>47</v>
      </c>
      <c r="C8" s="7">
        <v>14</v>
      </c>
      <c r="D8" s="8">
        <v>0.98209999999999997</v>
      </c>
      <c r="E8" s="7"/>
      <c r="F8" s="8">
        <v>2.8000000000000001E-2</v>
      </c>
      <c r="G8" s="9" t="s">
        <v>48</v>
      </c>
      <c r="J8" s="7" t="s">
        <v>19</v>
      </c>
      <c r="K8" s="7">
        <v>11.36</v>
      </c>
      <c r="L8" s="8">
        <v>0.81169999999999998</v>
      </c>
      <c r="M8" s="7">
        <v>1.25</v>
      </c>
      <c r="N8" s="8">
        <v>0.4289</v>
      </c>
      <c r="O8" s="8">
        <v>4.5999999999999999E-2</v>
      </c>
      <c r="P8" s="8">
        <v>3.1099999999999999E-2</v>
      </c>
      <c r="Q8" s="7">
        <v>510050</v>
      </c>
      <c r="R8" s="12" t="s">
        <v>49</v>
      </c>
      <c r="S8" s="13">
        <v>5.0000000000000001E-3</v>
      </c>
      <c r="T8" s="13">
        <v>1E-3</v>
      </c>
      <c r="U8" s="13">
        <f t="shared" si="0"/>
        <v>6.0000000000000001E-3</v>
      </c>
      <c r="X8" s="7" t="s">
        <v>47</v>
      </c>
      <c r="Y8" s="7">
        <v>14</v>
      </c>
      <c r="Z8" s="8">
        <v>0.98209999999999997</v>
      </c>
      <c r="AA8" s="7">
        <v>1.24</v>
      </c>
      <c r="AB8" s="8">
        <v>0.41799999999999998</v>
      </c>
      <c r="AC8" s="7"/>
      <c r="AD8" s="8">
        <v>2.8000000000000001E-2</v>
      </c>
      <c r="AE8" s="9" t="s">
        <v>48</v>
      </c>
    </row>
    <row r="9" spans="2:31">
      <c r="B9" s="7" t="s">
        <v>53</v>
      </c>
      <c r="C9" s="7">
        <v>6.28</v>
      </c>
      <c r="D9" s="8">
        <v>0.43130000000000002</v>
      </c>
      <c r="E9" s="8">
        <v>5.7000000000000002E-2</v>
      </c>
      <c r="F9" s="8">
        <v>4.9099999999999998E-2</v>
      </c>
      <c r="G9" s="9" t="s">
        <v>54</v>
      </c>
      <c r="J9" s="7" t="s">
        <v>26</v>
      </c>
      <c r="K9" s="7">
        <v>14.35</v>
      </c>
      <c r="L9" s="8">
        <v>0.86229999999999996</v>
      </c>
      <c r="M9" s="7">
        <v>1.58</v>
      </c>
      <c r="N9" s="8">
        <v>0.56830000000000003</v>
      </c>
      <c r="O9" s="8">
        <v>4.8899999999999999E-2</v>
      </c>
      <c r="P9" s="8">
        <v>2.4E-2</v>
      </c>
      <c r="Q9" s="7">
        <v>510300</v>
      </c>
      <c r="R9" s="12" t="s">
        <v>27</v>
      </c>
      <c r="S9" s="13">
        <v>5.0000000000000001E-3</v>
      </c>
      <c r="T9" s="13">
        <v>1E-3</v>
      </c>
      <c r="U9" s="13">
        <f t="shared" si="0"/>
        <v>6.0000000000000001E-3</v>
      </c>
      <c r="X9" s="7" t="s">
        <v>53</v>
      </c>
      <c r="Y9" s="7">
        <v>6.28</v>
      </c>
      <c r="Z9" s="8">
        <v>0.43130000000000002</v>
      </c>
      <c r="AA9" s="7">
        <v>0.72</v>
      </c>
      <c r="AB9" s="8">
        <v>2.2200000000000001E-2</v>
      </c>
      <c r="AC9" s="8">
        <v>5.7000000000000002E-2</v>
      </c>
      <c r="AD9" s="8">
        <v>4.9099999999999998E-2</v>
      </c>
      <c r="AE9" s="9" t="s">
        <v>55</v>
      </c>
    </row>
    <row r="10" spans="2:31">
      <c r="B10" s="7" t="s">
        <v>60</v>
      </c>
      <c r="C10" s="7">
        <v>24.65</v>
      </c>
      <c r="D10" s="8">
        <v>0.41639999999999999</v>
      </c>
      <c r="E10" s="8">
        <v>4.53E-2</v>
      </c>
      <c r="F10" s="8">
        <v>1.15E-2</v>
      </c>
      <c r="G10" s="9" t="s">
        <v>61</v>
      </c>
      <c r="J10" s="7" t="s">
        <v>62</v>
      </c>
      <c r="K10" s="7">
        <v>34.6</v>
      </c>
      <c r="L10" s="8">
        <v>0.85160000000000002</v>
      </c>
      <c r="M10" s="7">
        <v>8.35</v>
      </c>
      <c r="N10" s="8">
        <v>0.96709999999999996</v>
      </c>
      <c r="O10" s="8">
        <v>0.1321</v>
      </c>
      <c r="P10" s="8">
        <v>1.14E-2</v>
      </c>
      <c r="Q10" s="7">
        <v>159928</v>
      </c>
      <c r="R10" s="12" t="s">
        <v>63</v>
      </c>
      <c r="S10" s="13">
        <v>5.0000000000000001E-3</v>
      </c>
      <c r="T10" s="13">
        <v>1E-3</v>
      </c>
      <c r="U10" s="13">
        <f t="shared" si="0"/>
        <v>6.0000000000000001E-3</v>
      </c>
      <c r="X10" s="7" t="s">
        <v>60</v>
      </c>
      <c r="Y10" s="7">
        <v>24.65</v>
      </c>
      <c r="Z10" s="8">
        <v>0.41639999999999999</v>
      </c>
      <c r="AA10" s="7">
        <v>1.92</v>
      </c>
      <c r="AB10" s="8">
        <v>0.56440000000000001</v>
      </c>
      <c r="AC10" s="8">
        <v>4.53E-2</v>
      </c>
      <c r="AD10" s="8">
        <v>1.15E-2</v>
      </c>
      <c r="AE10" s="9" t="s">
        <v>64</v>
      </c>
    </row>
    <row r="11" spans="2:31">
      <c r="B11" s="7" t="s">
        <v>69</v>
      </c>
      <c r="C11" s="7">
        <v>6.61</v>
      </c>
      <c r="D11" s="8">
        <v>3.7000000000000002E-3</v>
      </c>
      <c r="E11" s="8">
        <v>5.2499999999999998E-2</v>
      </c>
      <c r="F11" s="8">
        <v>4.6699999999999998E-2</v>
      </c>
      <c r="G11" s="9" t="s">
        <v>70</v>
      </c>
      <c r="J11" s="7" t="s">
        <v>71</v>
      </c>
      <c r="K11" s="7">
        <v>63.29</v>
      </c>
      <c r="L11" s="8">
        <v>0.81659999999999999</v>
      </c>
      <c r="M11" s="7">
        <v>7.43</v>
      </c>
      <c r="N11" s="8">
        <v>0.88529999999999998</v>
      </c>
      <c r="O11" s="8">
        <v>6.5799999999999997E-2</v>
      </c>
      <c r="P11" s="8">
        <v>4.5999999999999999E-3</v>
      </c>
      <c r="Q11" s="7">
        <v>159915</v>
      </c>
      <c r="R11" s="12" t="s">
        <v>72</v>
      </c>
      <c r="S11" s="13">
        <v>5.0000000000000001E-3</v>
      </c>
      <c r="T11" s="13">
        <v>1E-3</v>
      </c>
      <c r="U11" s="13">
        <f t="shared" si="0"/>
        <v>6.0000000000000001E-3</v>
      </c>
      <c r="X11" s="7" t="s">
        <v>69</v>
      </c>
      <c r="Y11" s="7">
        <v>6.61</v>
      </c>
      <c r="Z11" s="8">
        <v>3.7000000000000002E-3</v>
      </c>
      <c r="AA11" s="7">
        <v>1.29</v>
      </c>
      <c r="AB11" s="8">
        <v>4.4999999999999997E-3</v>
      </c>
      <c r="AC11" s="8">
        <v>5.2499999999999998E-2</v>
      </c>
      <c r="AD11" s="8">
        <v>4.6699999999999998E-2</v>
      </c>
      <c r="AE11" s="9" t="s">
        <v>73</v>
      </c>
    </row>
    <row r="12" spans="2:31">
      <c r="B12" s="7" t="s">
        <v>76</v>
      </c>
      <c r="C12" s="7">
        <v>7.5</v>
      </c>
      <c r="D12" s="8">
        <v>6.1000000000000004E-3</v>
      </c>
      <c r="E12" s="8">
        <v>4.1099999999999998E-2</v>
      </c>
      <c r="F12" s="8">
        <v>2.58E-2</v>
      </c>
      <c r="G12" s="9" t="s">
        <v>77</v>
      </c>
      <c r="J12" s="7" t="s">
        <v>78</v>
      </c>
      <c r="K12" s="7">
        <v>12.13</v>
      </c>
      <c r="L12" s="8">
        <v>0.78620000000000001</v>
      </c>
      <c r="M12" s="7">
        <v>1.3</v>
      </c>
      <c r="N12" s="8">
        <v>0.30020000000000002</v>
      </c>
      <c r="O12" s="8">
        <v>4.8099999999999997E-2</v>
      </c>
      <c r="P12" s="8">
        <v>2.8799999999999999E-2</v>
      </c>
      <c r="Q12" s="7">
        <v>510180</v>
      </c>
      <c r="R12" s="12" t="s">
        <v>79</v>
      </c>
      <c r="S12" s="13">
        <v>5.0000000000000001E-3</v>
      </c>
      <c r="T12" s="13">
        <v>1E-3</v>
      </c>
      <c r="U12" s="13">
        <f t="shared" si="0"/>
        <v>6.0000000000000001E-3</v>
      </c>
      <c r="X12" s="7" t="s">
        <v>76</v>
      </c>
      <c r="Y12" s="7">
        <v>7.5</v>
      </c>
      <c r="Z12" s="8">
        <v>6.1000000000000004E-3</v>
      </c>
      <c r="AA12" s="7">
        <v>0.82</v>
      </c>
      <c r="AB12" s="8">
        <v>1.5299999999999999E-2</v>
      </c>
      <c r="AC12" s="8">
        <v>4.1099999999999998E-2</v>
      </c>
      <c r="AD12" s="8">
        <v>2.58E-2</v>
      </c>
      <c r="AE12" s="9" t="s">
        <v>80</v>
      </c>
    </row>
    <row r="13" spans="2:31">
      <c r="B13" s="7" t="s">
        <v>84</v>
      </c>
      <c r="C13" s="7">
        <v>47.67</v>
      </c>
      <c r="D13" s="8">
        <v>0.93540000000000001</v>
      </c>
      <c r="E13" s="8">
        <v>0.1167</v>
      </c>
      <c r="F13" s="8">
        <v>1.0500000000000001E-2</v>
      </c>
      <c r="G13" s="9" t="s">
        <v>85</v>
      </c>
      <c r="J13" s="7" t="s">
        <v>86</v>
      </c>
      <c r="K13" s="7">
        <v>53.24</v>
      </c>
      <c r="L13" s="8">
        <v>0.90869999999999995</v>
      </c>
      <c r="M13" s="7">
        <v>5.41</v>
      </c>
      <c r="N13" s="8">
        <v>0.8891</v>
      </c>
      <c r="O13" s="8">
        <v>6.8099999999999994E-2</v>
      </c>
      <c r="P13" s="8">
        <v>6.6E-3</v>
      </c>
      <c r="Q13" s="7">
        <v>159938</v>
      </c>
      <c r="R13" s="12" t="s">
        <v>87</v>
      </c>
      <c r="S13" s="13">
        <v>5.0000000000000001E-3</v>
      </c>
      <c r="T13" s="13">
        <v>1E-3</v>
      </c>
      <c r="U13" s="13">
        <f t="shared" si="0"/>
        <v>6.0000000000000001E-3</v>
      </c>
      <c r="X13" s="7" t="s">
        <v>84</v>
      </c>
      <c r="Y13" s="7">
        <v>47.67</v>
      </c>
      <c r="Z13" s="8">
        <v>0.93540000000000001</v>
      </c>
      <c r="AA13" s="7">
        <v>9.9499999999999993</v>
      </c>
      <c r="AB13" s="8">
        <v>0.96789999999999998</v>
      </c>
      <c r="AC13" s="8">
        <v>0.1167</v>
      </c>
      <c r="AD13" s="8">
        <v>1.0500000000000001E-2</v>
      </c>
      <c r="AE13" s="9" t="s">
        <v>88</v>
      </c>
    </row>
    <row r="14" spans="2:31">
      <c r="B14" s="7" t="s">
        <v>92</v>
      </c>
      <c r="C14" s="7">
        <v>47.38</v>
      </c>
      <c r="D14" s="8">
        <v>0.97919999999999996</v>
      </c>
      <c r="E14" s="8">
        <v>0.12909999999999999</v>
      </c>
      <c r="F14" s="8">
        <v>1.09E-2</v>
      </c>
      <c r="G14" s="9" t="s">
        <v>93</v>
      </c>
      <c r="J14" s="7" t="s">
        <v>94</v>
      </c>
      <c r="K14" s="7">
        <v>28.91</v>
      </c>
      <c r="L14" s="8">
        <v>0.94779999999999998</v>
      </c>
      <c r="M14" s="7">
        <v>4.03</v>
      </c>
      <c r="N14" s="8">
        <v>0.96419999999999995</v>
      </c>
      <c r="O14" s="8">
        <v>0.06</v>
      </c>
      <c r="P14" s="8">
        <v>1.0999999999999999E-2</v>
      </c>
      <c r="Q14" s="7">
        <v>159901</v>
      </c>
      <c r="R14" s="12" t="s">
        <v>95</v>
      </c>
      <c r="S14" s="13">
        <v>5.0000000000000001E-3</v>
      </c>
      <c r="T14" s="13">
        <v>1E-3</v>
      </c>
      <c r="U14" s="13">
        <f t="shared" si="0"/>
        <v>6.0000000000000001E-3</v>
      </c>
      <c r="X14" s="7" t="s">
        <v>92</v>
      </c>
      <c r="Y14" s="7">
        <v>47.38</v>
      </c>
      <c r="Z14" s="8">
        <v>0.97919999999999996</v>
      </c>
      <c r="AA14" s="7">
        <v>10.43</v>
      </c>
      <c r="AB14" s="8">
        <v>0.96409999999999996</v>
      </c>
      <c r="AC14" s="8">
        <v>0.12909999999999999</v>
      </c>
      <c r="AD14" s="8">
        <v>1.09E-2</v>
      </c>
      <c r="AE14" s="9" t="s">
        <v>96</v>
      </c>
    </row>
    <row r="15" spans="2:31">
      <c r="B15" s="7" t="s">
        <v>100</v>
      </c>
      <c r="C15" s="7">
        <v>28.04</v>
      </c>
      <c r="D15" s="8">
        <v>0.8891</v>
      </c>
      <c r="E15" s="8">
        <v>7.3700000000000002E-2</v>
      </c>
      <c r="F15" s="8">
        <v>1.3599999999999999E-2</v>
      </c>
      <c r="G15" s="9" t="s">
        <v>101</v>
      </c>
      <c r="J15" s="7" t="s">
        <v>47</v>
      </c>
      <c r="K15" s="7">
        <v>14</v>
      </c>
      <c r="L15" s="8">
        <v>0.98209999999999997</v>
      </c>
      <c r="M15" s="7">
        <v>1.24</v>
      </c>
      <c r="N15" s="8">
        <v>0.41799999999999998</v>
      </c>
      <c r="O15" s="7"/>
      <c r="P15" s="8">
        <v>2.8000000000000001E-2</v>
      </c>
      <c r="Q15" s="7">
        <v>159920</v>
      </c>
      <c r="R15" s="9" t="s">
        <v>102</v>
      </c>
      <c r="S15" s="13">
        <v>6.4999999999999997E-3</v>
      </c>
      <c r="T15" s="13">
        <v>1.5E-3</v>
      </c>
      <c r="U15" s="13">
        <f t="shared" si="0"/>
        <v>8.0000000000000002E-3</v>
      </c>
      <c r="X15" s="7" t="s">
        <v>100</v>
      </c>
      <c r="Y15" s="7">
        <v>28.04</v>
      </c>
      <c r="Z15" s="8">
        <v>0.8891</v>
      </c>
      <c r="AA15" s="7">
        <v>3.71</v>
      </c>
      <c r="AB15" s="8">
        <v>0.86919999999999997</v>
      </c>
      <c r="AC15" s="8">
        <v>7.3700000000000002E-2</v>
      </c>
      <c r="AD15" s="8">
        <v>1.3599999999999999E-2</v>
      </c>
      <c r="AE15" s="9" t="s">
        <v>103</v>
      </c>
    </row>
    <row r="16" spans="2:31">
      <c r="B16" s="7" t="s">
        <v>104</v>
      </c>
      <c r="C16" s="7">
        <v>59.2</v>
      </c>
      <c r="D16" s="8">
        <v>0.1825</v>
      </c>
      <c r="E16" s="8">
        <v>2.9700000000000001E-2</v>
      </c>
      <c r="F16" s="8">
        <v>3.2000000000000002E-3</v>
      </c>
      <c r="G16" s="9" t="s">
        <v>105</v>
      </c>
      <c r="J16" s="7" t="s">
        <v>106</v>
      </c>
      <c r="K16" s="7">
        <v>40.14</v>
      </c>
      <c r="L16" s="8">
        <v>0.97950000000000004</v>
      </c>
      <c r="M16" s="7">
        <v>2.65</v>
      </c>
      <c r="N16" s="8">
        <v>0.58730000000000004</v>
      </c>
      <c r="O16" s="8">
        <v>2.8199999999999999E-2</v>
      </c>
      <c r="P16" s="8">
        <v>1.43E-2</v>
      </c>
      <c r="Q16" s="7">
        <v>159936</v>
      </c>
      <c r="R16" s="12" t="s">
        <v>107</v>
      </c>
      <c r="S16" s="13">
        <v>5.0000000000000001E-3</v>
      </c>
      <c r="T16" s="13">
        <v>1E-3</v>
      </c>
      <c r="U16" s="13">
        <f t="shared" si="0"/>
        <v>6.0000000000000001E-3</v>
      </c>
      <c r="X16" s="7" t="s">
        <v>104</v>
      </c>
      <c r="Y16" s="7">
        <v>59.2</v>
      </c>
      <c r="Z16" s="8">
        <v>0.1825</v>
      </c>
      <c r="AA16" s="7">
        <v>3.32</v>
      </c>
      <c r="AB16" s="8">
        <v>0.53600000000000003</v>
      </c>
      <c r="AC16" s="8">
        <v>2.9700000000000001E-2</v>
      </c>
      <c r="AD16" s="8">
        <v>3.2000000000000002E-3</v>
      </c>
      <c r="AE16" s="9" t="s">
        <v>108</v>
      </c>
    </row>
    <row r="17" spans="2:42">
      <c r="B17" s="7" t="s">
        <v>109</v>
      </c>
      <c r="C17" s="7">
        <v>54.58</v>
      </c>
      <c r="D17" s="8">
        <v>0.44040000000000001</v>
      </c>
      <c r="E17" s="8">
        <v>2.4E-2</v>
      </c>
      <c r="F17" s="8">
        <v>7.7999999999999996E-3</v>
      </c>
      <c r="G17" s="9" t="s">
        <v>110</v>
      </c>
      <c r="J17" s="16" t="s">
        <v>33</v>
      </c>
      <c r="K17" s="16">
        <v>30.28</v>
      </c>
      <c r="L17" s="18">
        <v>0.49049999999999999</v>
      </c>
      <c r="M17" s="16">
        <v>2.04</v>
      </c>
      <c r="N17" s="18">
        <v>0.20349999999999999</v>
      </c>
      <c r="O17" s="18">
        <v>2.75E-2</v>
      </c>
      <c r="P17" s="18">
        <v>1.26E-2</v>
      </c>
      <c r="Q17" s="16">
        <v>510500</v>
      </c>
      <c r="R17" s="17" t="s">
        <v>111</v>
      </c>
      <c r="S17" s="20">
        <v>5.0000000000000001E-3</v>
      </c>
      <c r="T17" s="20">
        <v>1E-3</v>
      </c>
      <c r="U17" s="20">
        <f t="shared" si="0"/>
        <v>6.0000000000000001E-3</v>
      </c>
      <c r="X17" s="7" t="s">
        <v>109</v>
      </c>
      <c r="Y17" s="7">
        <v>54.58</v>
      </c>
      <c r="Z17" s="8">
        <v>0.44040000000000001</v>
      </c>
      <c r="AA17" s="7">
        <v>2.21</v>
      </c>
      <c r="AB17" s="8">
        <v>0.32529999999999998</v>
      </c>
      <c r="AC17" s="8">
        <v>2.4E-2</v>
      </c>
      <c r="AD17" s="8">
        <v>7.7999999999999996E-3</v>
      </c>
      <c r="AE17" s="9" t="s">
        <v>112</v>
      </c>
      <c r="AH17" s="21"/>
      <c r="AI17" s="21"/>
      <c r="AJ17" s="21"/>
      <c r="AK17" s="22"/>
      <c r="AL17" s="21"/>
      <c r="AM17" s="22"/>
      <c r="AN17" s="22"/>
      <c r="AO17" s="22"/>
      <c r="AP17" s="23"/>
    </row>
    <row r="18" spans="2:42">
      <c r="B18" s="7" t="s">
        <v>113</v>
      </c>
      <c r="C18" s="7">
        <v>62.59</v>
      </c>
      <c r="D18" s="8">
        <v>0.62419999999999998</v>
      </c>
      <c r="E18" s="8">
        <v>0.11650000000000001</v>
      </c>
      <c r="F18" s="8">
        <v>3.0999999999999999E-3</v>
      </c>
      <c r="G18" s="9" t="s">
        <v>114</v>
      </c>
      <c r="X18" s="7" t="s">
        <v>113</v>
      </c>
      <c r="Y18" s="7">
        <v>62.59</v>
      </c>
      <c r="Z18" s="8">
        <v>0.62419999999999998</v>
      </c>
      <c r="AA18" s="7">
        <v>10</v>
      </c>
      <c r="AB18" s="8">
        <v>0.878</v>
      </c>
      <c r="AC18" s="8">
        <v>0.11650000000000001</v>
      </c>
      <c r="AD18" s="8">
        <v>3.0999999999999999E-3</v>
      </c>
      <c r="AE18" s="9" t="s">
        <v>115</v>
      </c>
      <c r="AH18" s="21"/>
      <c r="AI18" s="21"/>
      <c r="AJ18" s="21"/>
      <c r="AK18" s="22"/>
      <c r="AL18" s="21"/>
      <c r="AM18" s="22"/>
      <c r="AN18" s="22"/>
      <c r="AO18" s="22"/>
      <c r="AP18" s="23"/>
    </row>
    <row r="19" spans="2:42">
      <c r="B19" s="16" t="s">
        <v>116</v>
      </c>
      <c r="C19" s="16">
        <v>46.98</v>
      </c>
      <c r="D19" s="18">
        <v>0.73109999999999997</v>
      </c>
      <c r="E19" s="18">
        <v>4.6699999999999998E-2</v>
      </c>
      <c r="F19" s="18">
        <v>6.1000000000000004E-3</v>
      </c>
      <c r="G19" s="19" t="s">
        <v>117</v>
      </c>
      <c r="X19" s="16" t="s">
        <v>116</v>
      </c>
      <c r="Y19" s="16">
        <v>46.98</v>
      </c>
      <c r="Z19" s="18">
        <v>0.73109999999999997</v>
      </c>
      <c r="AA19" s="16">
        <v>5.42</v>
      </c>
      <c r="AB19" s="18">
        <v>0.84330000000000005</v>
      </c>
      <c r="AC19" s="18">
        <v>4.6699999999999998E-2</v>
      </c>
      <c r="AD19" s="18">
        <v>6.1000000000000004E-3</v>
      </c>
      <c r="AE19" s="19" t="s">
        <v>118</v>
      </c>
      <c r="AH19" s="21"/>
      <c r="AI19" s="21"/>
      <c r="AJ19" s="21"/>
      <c r="AK19" s="22"/>
      <c r="AL19" s="21"/>
      <c r="AM19" s="22"/>
      <c r="AN19" s="22"/>
      <c r="AO19" s="22"/>
      <c r="AP19" s="23"/>
    </row>
    <row r="20" spans="2:42">
      <c r="B20" s="24"/>
      <c r="C20" s="24"/>
      <c r="D20" s="25"/>
      <c r="E20" s="25"/>
      <c r="F20" s="25"/>
      <c r="G20" s="26"/>
    </row>
    <row r="21" spans="2:42">
      <c r="B21" s="24"/>
      <c r="C21" s="24"/>
      <c r="D21" s="25"/>
      <c r="E21" s="25"/>
      <c r="F21" s="25"/>
      <c r="G21" s="26"/>
    </row>
    <row r="22" spans="2:42">
      <c r="AH22" s="24"/>
      <c r="AI22" s="24"/>
      <c r="AJ22" s="24"/>
      <c r="AK22" s="25"/>
      <c r="AL22" s="24"/>
      <c r="AM22" s="25"/>
      <c r="AN22" s="25"/>
      <c r="AO22" s="25"/>
      <c r="AP22" s="26"/>
    </row>
    <row r="38" spans="2:6">
      <c r="B38" s="24"/>
      <c r="D38" s="27"/>
      <c r="E38" s="27"/>
      <c r="F38" s="27"/>
    </row>
    <row r="55" spans="10:18">
      <c r="J55" s="28"/>
      <c r="Q55" s="28"/>
    </row>
    <row r="56" spans="10:18">
      <c r="K56" s="29"/>
      <c r="R56" s="29"/>
    </row>
    <row r="70" spans="10:17">
      <c r="J70" s="28"/>
      <c r="Q70" s="28"/>
    </row>
  </sheetData>
  <mergeCells count="1">
    <mergeCell ref="B2:F2"/>
  </mergeCells>
  <phoneticPr fontId="3" type="noConversion"/>
  <conditionalFormatting sqref="L8">
    <cfRule type="colorScale" priority="22">
      <colorScale>
        <cfvo type="min"/>
        <cfvo type="max"/>
        <color rgb="FFFCFCFF"/>
        <color rgb="FFF8696B"/>
      </colorScale>
    </cfRule>
  </conditionalFormatting>
  <conditionalFormatting sqref="N8">
    <cfRule type="colorScale" priority="23">
      <colorScale>
        <cfvo type="min"/>
        <cfvo type="max"/>
        <color rgb="FFFCFCFF"/>
        <color rgb="FFF8696B"/>
      </colorScale>
    </cfRule>
  </conditionalFormatting>
  <conditionalFormatting sqref="O8">
    <cfRule type="dataBar" priority="25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{0E7381D0-D4E7-4709-BC40-973DABD662E6}</x14:id>
        </ext>
      </extLst>
    </cfRule>
  </conditionalFormatting>
  <conditionalFormatting sqref="P8"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{8276323B-EBFB-4EBF-BC63-F351F7E3B1C9}</x14:id>
        </ext>
      </extLst>
    </cfRule>
  </conditionalFormatting>
  <conditionalFormatting sqref="L9">
    <cfRule type="colorScale" priority="14">
      <colorScale>
        <cfvo type="min"/>
        <cfvo type="max"/>
        <color rgb="FFFCFCFF"/>
        <color rgb="FFF8696B"/>
      </colorScale>
    </cfRule>
  </conditionalFormatting>
  <conditionalFormatting sqref="N9">
    <cfRule type="colorScale" priority="15">
      <colorScale>
        <cfvo type="min"/>
        <cfvo type="max"/>
        <color rgb="FFFCFCFF"/>
        <color rgb="FFF8696B"/>
      </colorScale>
    </cfRule>
  </conditionalFormatting>
  <conditionalFormatting sqref="O9">
    <cfRule type="dataBar" priority="1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{A4A18567-B752-4832-930A-C77C6379ECBF}</x14:id>
        </ext>
      </extLst>
    </cfRule>
  </conditionalFormatting>
  <conditionalFormatting sqref="P9"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{82414733-81F4-42DE-8503-3AB549B3590D}</x14:id>
        </ext>
      </extLst>
    </cfRule>
  </conditionalFormatting>
  <conditionalFormatting sqref="L15">
    <cfRule type="colorScale" priority="18">
      <colorScale>
        <cfvo type="min"/>
        <cfvo type="max"/>
        <color rgb="FFFCFCFF"/>
        <color rgb="FFF8696B"/>
      </colorScale>
    </cfRule>
  </conditionalFormatting>
  <conditionalFormatting sqref="N15">
    <cfRule type="colorScale" priority="19">
      <colorScale>
        <cfvo type="min"/>
        <cfvo type="max"/>
        <color rgb="FFFCFCFF"/>
        <color rgb="FFF8696B"/>
      </colorScale>
    </cfRule>
  </conditionalFormatting>
  <conditionalFormatting sqref="O15">
    <cfRule type="dataBar" priority="2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{F5728209-8C14-4FAA-AA3B-A541A17B781F}</x14:id>
        </ext>
      </extLst>
    </cfRule>
  </conditionalFormatting>
  <conditionalFormatting sqref="P15"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{4E8F5C7E-964A-4E6A-95AD-D17DB7C51067}</x14:id>
        </ext>
      </extLst>
    </cfRule>
  </conditionalFormatting>
  <conditionalFormatting sqref="L17">
    <cfRule type="colorScale" priority="26">
      <colorScale>
        <cfvo type="min"/>
        <cfvo type="max"/>
        <color rgb="FFFCFCFF"/>
        <color rgb="FFF8696B"/>
      </colorScale>
    </cfRule>
  </conditionalFormatting>
  <conditionalFormatting sqref="N17">
    <cfRule type="colorScale" priority="27">
      <colorScale>
        <cfvo type="min"/>
        <cfvo type="max"/>
        <color rgb="FFFCFCFF"/>
        <color rgb="FFF8696B"/>
      </colorScale>
    </cfRule>
  </conditionalFormatting>
  <conditionalFormatting sqref="P17">
    <cfRule type="dataBar" priority="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{7153F1F2-641D-4F11-8921-04D1CB3CB2FE}</x14:id>
        </ext>
      </extLst>
    </cfRule>
  </conditionalFormatting>
  <conditionalFormatting sqref="D4:D21">
    <cfRule type="colorScale" priority="31">
      <colorScale>
        <cfvo type="min"/>
        <cfvo type="max"/>
        <color rgb="FFFCFCFF"/>
        <color rgb="FFF8696B"/>
      </colorScale>
    </cfRule>
  </conditionalFormatting>
  <conditionalFormatting sqref="E4:E21">
    <cfRule type="dataBar" priority="34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{DD6C2342-A6AB-4D5D-BA6D-843A6EFAE949}</x14:id>
        </ext>
      </extLst>
    </cfRule>
  </conditionalFormatting>
  <conditionalFormatting sqref="F4:F21">
    <cfRule type="dataBar" priority="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{0B106237-B6F6-480F-A6D0-06C887C97F62}</x14:id>
        </ext>
      </extLst>
    </cfRule>
  </conditionalFormatting>
  <conditionalFormatting sqref="L4:L17">
    <cfRule type="colorScale" priority="12">
      <colorScale>
        <cfvo type="min"/>
        <cfvo type="max"/>
        <color rgb="FFFCFCFF"/>
        <color rgb="FFF8696B"/>
      </colorScale>
    </cfRule>
  </conditionalFormatting>
  <conditionalFormatting sqref="N4:N17">
    <cfRule type="colorScale" priority="13">
      <colorScale>
        <cfvo type="min"/>
        <cfvo type="max"/>
        <color rgb="FFFCFCFF"/>
        <color rgb="FFF8696B"/>
      </colorScale>
    </cfRule>
  </conditionalFormatting>
  <conditionalFormatting sqref="U4:U17">
    <cfRule type="dataBar" priority="35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{BE9EC198-11D7-492F-9C93-4A515AD968ED}</x14:id>
        </ext>
      </extLst>
    </cfRule>
  </conditionalFormatting>
  <conditionalFormatting sqref="L10:L14 L16 L4:L7">
    <cfRule type="colorScale" priority="30">
      <colorScale>
        <cfvo type="min"/>
        <cfvo type="max"/>
        <color rgb="FFFCFCFF"/>
        <color rgb="FFF8696B"/>
      </colorScale>
    </cfRule>
  </conditionalFormatting>
  <conditionalFormatting sqref="N4:N7 N16 N10:N14">
    <cfRule type="colorScale" priority="29">
      <colorScale>
        <cfvo type="min"/>
        <cfvo type="max"/>
        <color rgb="FFFCFCFF"/>
        <color rgb="FFF8696B"/>
      </colorScale>
    </cfRule>
  </conditionalFormatting>
  <conditionalFormatting sqref="O4:O7 O16 O10:O14">
    <cfRule type="dataBar" priority="3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{B45E901A-A67D-4B6D-9F53-0A4F8E402830}</x14:id>
        </ext>
      </extLst>
    </cfRule>
  </conditionalFormatting>
  <conditionalFormatting sqref="P4:P7 P16 P10:P14">
    <cfRule type="dataBar" priority="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{5758770E-F656-458D-B996-0BA195F264C7}</x14:id>
        </ext>
      </extLst>
    </cfRule>
  </conditionalFormatting>
  <conditionalFormatting sqref="Z4:Z19">
    <cfRule type="colorScale" priority="8">
      <colorScale>
        <cfvo type="min"/>
        <cfvo type="max"/>
        <color rgb="FFFCFCFF"/>
        <color rgb="FFF8696B"/>
      </colorScale>
    </cfRule>
  </conditionalFormatting>
  <conditionalFormatting sqref="AB4:AB19">
    <cfRule type="colorScale" priority="9">
      <colorScale>
        <cfvo type="min"/>
        <cfvo type="max"/>
        <color rgb="FFFCFCFF"/>
        <color rgb="FFF8696B"/>
      </colorScale>
    </cfRule>
  </conditionalFormatting>
  <conditionalFormatting sqref="AC4:AC19">
    <cfRule type="dataBar" priority="11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{F5E9DF12-597E-4AB2-BDEF-075287AF583E}</x14:id>
        </ext>
      </extLst>
    </cfRule>
  </conditionalFormatting>
  <conditionalFormatting sqref="AD4:AD19"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{48DBD07A-BF70-4241-AFA1-04C55F00CFCB}</x14:id>
        </ext>
      </extLst>
    </cfRule>
  </conditionalFormatting>
  <conditionalFormatting sqref="O17">
    <cfRule type="dataBar" priority="7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{6499DA06-2A55-4E95-A3F0-77D2C3A7E480}</x14:id>
        </ext>
      </extLst>
    </cfRule>
  </conditionalFormatting>
  <conditionalFormatting sqref="O4:O17">
    <cfRule type="dataBar" priority="6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{AB6E62B1-845B-4D3A-8539-4901FE0AA590}</x14:id>
        </ext>
      </extLst>
    </cfRule>
  </conditionalFormatting>
  <conditionalFormatting sqref="AK17:AK19 AK22">
    <cfRule type="colorScale" priority="38">
      <colorScale>
        <cfvo type="min"/>
        <cfvo type="max"/>
        <color rgb="FFFCFCFF"/>
        <color rgb="FFF8696B"/>
      </colorScale>
    </cfRule>
  </conditionalFormatting>
  <conditionalFormatting sqref="AM17:AM19 AM22">
    <cfRule type="colorScale" priority="39">
      <colorScale>
        <cfvo type="min"/>
        <cfvo type="max"/>
        <color rgb="FFFCFCFF"/>
        <color rgb="FFF8696B"/>
      </colorScale>
    </cfRule>
  </conditionalFormatting>
  <conditionalFormatting sqref="AN17:AN19 AN22">
    <cfRule type="dataBar" priority="40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{713A4B3C-80DE-4426-B66A-DAE7001B9C34}</x14:id>
        </ext>
      </extLst>
    </cfRule>
  </conditionalFormatting>
  <conditionalFormatting sqref="AO17:AO19 AO22">
    <cfRule type="dataBar" priority="4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{37BB6650-C02D-48CB-8CD5-0FCE815A3FA9}</x14:id>
        </ext>
      </extLst>
    </cfRule>
  </conditionalFormatting>
  <pageMargins left="0.7" right="0.7" top="0.75" bottom="0.75" header="0.3" footer="0.3"/>
  <pageSetup paperSize="9" orientation="portrait" r:id="rId1"/>
  <ignoredErrors>
    <ignoredError sqref="R4:R17" numberStoredAsText="1"/>
  </ignoredError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E7381D0-D4E7-4709-BC40-973DABD662E6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O8</xm:sqref>
        </x14:conditionalFormatting>
        <x14:conditionalFormatting xmlns:xm="http://schemas.microsoft.com/office/excel/2006/main">
          <x14:cfRule type="dataBar" id="{8276323B-EBFB-4EBF-BC63-F351F7E3B1C9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P8</xm:sqref>
        </x14:conditionalFormatting>
        <x14:conditionalFormatting xmlns:xm="http://schemas.microsoft.com/office/excel/2006/main">
          <x14:cfRule type="dataBar" id="{A4A18567-B752-4832-930A-C77C6379ECB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O9</xm:sqref>
        </x14:conditionalFormatting>
        <x14:conditionalFormatting xmlns:xm="http://schemas.microsoft.com/office/excel/2006/main">
          <x14:cfRule type="dataBar" id="{82414733-81F4-42DE-8503-3AB549B3590D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P9</xm:sqref>
        </x14:conditionalFormatting>
        <x14:conditionalFormatting xmlns:xm="http://schemas.microsoft.com/office/excel/2006/main">
          <x14:cfRule type="dataBar" id="{F5728209-8C14-4FAA-AA3B-A541A17B781F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O15</xm:sqref>
        </x14:conditionalFormatting>
        <x14:conditionalFormatting xmlns:xm="http://schemas.microsoft.com/office/excel/2006/main">
          <x14:cfRule type="dataBar" id="{4E8F5C7E-964A-4E6A-95AD-D17DB7C51067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P15</xm:sqref>
        </x14:conditionalFormatting>
        <x14:conditionalFormatting xmlns:xm="http://schemas.microsoft.com/office/excel/2006/main">
          <x14:cfRule type="dataBar" id="{7153F1F2-641D-4F11-8921-04D1CB3CB2F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P17</xm:sqref>
        </x14:conditionalFormatting>
        <x14:conditionalFormatting xmlns:xm="http://schemas.microsoft.com/office/excel/2006/main">
          <x14:cfRule type="dataBar" id="{DD6C2342-A6AB-4D5D-BA6D-843A6EFAE949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E4:E21</xm:sqref>
        </x14:conditionalFormatting>
        <x14:conditionalFormatting xmlns:xm="http://schemas.microsoft.com/office/excel/2006/main">
          <x14:cfRule type="dataBar" id="{0B106237-B6F6-480F-A6D0-06C887C97F62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F4:F21</xm:sqref>
        </x14:conditionalFormatting>
        <x14:conditionalFormatting xmlns:xm="http://schemas.microsoft.com/office/excel/2006/main">
          <x14:cfRule type="dataBar" id="{BE9EC198-11D7-492F-9C93-4A515AD968ED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U4:U17</xm:sqref>
        </x14:conditionalFormatting>
        <x14:conditionalFormatting xmlns:xm="http://schemas.microsoft.com/office/excel/2006/main">
          <x14:cfRule type="dataBar" id="{B45E901A-A67D-4B6D-9F53-0A4F8E40283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O4:O7 O16 O10:O14</xm:sqref>
        </x14:conditionalFormatting>
        <x14:conditionalFormatting xmlns:xm="http://schemas.microsoft.com/office/excel/2006/main">
          <x14:cfRule type="dataBar" id="{5758770E-F656-458D-B996-0BA195F264C7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P4:P7 P16 P10:P14</xm:sqref>
        </x14:conditionalFormatting>
        <x14:conditionalFormatting xmlns:xm="http://schemas.microsoft.com/office/excel/2006/main">
          <x14:cfRule type="dataBar" id="{F5E9DF12-597E-4AB2-BDEF-075287AF583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AC4:AC19</xm:sqref>
        </x14:conditionalFormatting>
        <x14:conditionalFormatting xmlns:xm="http://schemas.microsoft.com/office/excel/2006/main">
          <x14:cfRule type="dataBar" id="{48DBD07A-BF70-4241-AFA1-04C55F00CFCB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AD4:AD19</xm:sqref>
        </x14:conditionalFormatting>
        <x14:conditionalFormatting xmlns:xm="http://schemas.microsoft.com/office/excel/2006/main">
          <x14:cfRule type="dataBar" id="{6499DA06-2A55-4E95-A3F0-77D2C3A7E48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O17</xm:sqref>
        </x14:conditionalFormatting>
        <x14:conditionalFormatting xmlns:xm="http://schemas.microsoft.com/office/excel/2006/main">
          <x14:cfRule type="dataBar" id="{AB6E62B1-845B-4D3A-8539-4901FE0AA590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O4:O17</xm:sqref>
        </x14:conditionalFormatting>
        <x14:conditionalFormatting xmlns:xm="http://schemas.microsoft.com/office/excel/2006/main">
          <x14:cfRule type="dataBar" id="{713A4B3C-80DE-4426-B66A-DAE7001B9C34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AN17:AN19 AN22</xm:sqref>
        </x14:conditionalFormatting>
        <x14:conditionalFormatting xmlns:xm="http://schemas.microsoft.com/office/excel/2006/main">
          <x14:cfRule type="dataBar" id="{37BB6650-C02D-48CB-8CD5-0FCE815A3FA9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AO17:AO19 AO22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【台灣】陸股ETF標的估值</vt:lpstr>
      <vt:lpstr>【大陸】陸股ETF標的估值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Chengen Wu</dc:creator>
  <cp:lastModifiedBy>Chengen Wu</cp:lastModifiedBy>
  <dcterms:created xsi:type="dcterms:W3CDTF">2020-11-06T11:48:17Z</dcterms:created>
  <dcterms:modified xsi:type="dcterms:W3CDTF">2020-11-06T11:52:45Z</dcterms:modified>
</cp:coreProperties>
</file>